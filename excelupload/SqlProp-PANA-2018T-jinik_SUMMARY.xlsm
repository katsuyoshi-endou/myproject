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ndou-katsuyoshi\Desktop\lysithea-excel-macro\"/>
    </mc:Choice>
  </mc:AlternateContent>
  <xr:revisionPtr revIDLastSave="0" documentId="13_ncr:1_{A75B3344-B77F-4D8C-9784-1C59C97DCABB}" xr6:coauthVersionLast="40" xr6:coauthVersionMax="40" xr10:uidLastSave="{00000000-0000-0000-0000-000000000000}"/>
  <workbookProtection workbookAlgorithmName="SHA-512" workbookHashValue="WhGm7eHbFAosKNi/AmbsVPmENMdLCWh6fZyAszMBpOpk3bmNLH3frESRhlD0X6ndsYIgPCVF0xaJaM+sbxpg8A==" workbookSaltValue="V/KmKzTISpm6rt4MVllY0w==" workbookSpinCount="100000" lockStructure="1"/>
  <bookViews>
    <workbookView xWindow="0" yWindow="0" windowWidth="28800" windowHeight="12180" firstSheet="1" activeTab="1" xr2:uid="{00000000-000D-0000-FFFF-FFFF00000000}"/>
  </bookViews>
  <sheets>
    <sheet name="警告" sheetId="18" state="hidden" r:id="rId1"/>
    <sheet name="人材育成計画" sheetId="20" r:id="rId2"/>
    <sheet name="チェック結果" sheetId="19" r:id="rId3"/>
    <sheet name="master" sheetId="21" r:id="rId4"/>
  </sheets>
  <functionGroups builtInGroupCount="19"/>
  <definedNames>
    <definedName name="_xlnm.Print_Area" localSheetId="0">警告!$B$2:$AB$22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8" i="20" l="1"/>
  <c r="U7" i="20"/>
  <c r="U6" i="20"/>
  <c r="U5" i="20"/>
  <c r="U11" i="20" l="1"/>
  <c r="U10" i="20"/>
  <c r="U9" i="20"/>
  <c r="U1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育成企画課・笹田誠</author>
  </authors>
  <commentList>
    <comment ref="T14" authorId="0" shapeId="0" xr:uid="{8A4D292E-CEE6-4F85-8D78-7E0AEB5685EE}">
      <text>
        <r>
          <rPr>
            <b/>
            <sz val="9"/>
            <color indexed="81"/>
            <rFont val="ＭＳ Ｐゴシック"/>
            <family val="3"/>
            <charset val="128"/>
          </rPr>
          <t>入社して何年経過しているかの区分です。
ただし、中途採用の社員は年次によらず「11年目以上」に区分されます。
1～5年目：新卒入社で1～5年目の社員
6～10年目：新卒入社で6～10年目の社員
11年目以上：新卒入社で11年目以上、または中途採用の社員
※表示内容に誤りがある場合は調達職能人事にご連絡下さい。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L14" authorId="0" shapeId="0" xr:uid="{AC261A9B-BBE1-4AB6-ABC5-F0AB9661A2C9}">
      <text>
        <r>
          <rPr>
            <b/>
            <sz val="9"/>
            <color indexed="81"/>
            <rFont val="ＭＳ Ｐゴシック"/>
            <family val="3"/>
            <charset val="128"/>
          </rPr>
          <t>現在担当している調達業務を入力して下さい。
（例：半導体の契約業務）: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Y14" authorId="0" shapeId="0" xr:uid="{DEFEF01C-CBD6-4426-A7A1-CC26ED301230}">
      <text>
        <r>
          <rPr>
            <b/>
            <sz val="9"/>
            <color indexed="81"/>
            <rFont val="ＭＳ Ｐゴシック"/>
            <family val="3"/>
            <charset val="128"/>
          </rPr>
          <t>備考や引継ぎ事項があれば入力してください。
※異動計画の職務や事業場で「その他」を選択した場合は、
内容をこの欄に入力してください。</t>
        </r>
      </text>
    </comment>
    <comment ref="U15" authorId="0" shapeId="0" xr:uid="{66C4CE9E-AAD6-42EC-98A6-4DB787CD6FFD}">
      <text>
        <r>
          <rPr>
            <b/>
            <sz val="9"/>
            <color indexed="81"/>
            <rFont val="ＭＳ Ｐゴシック"/>
            <family val="3"/>
            <charset val="128"/>
          </rPr>
          <t>現在の業務を担当しはじめた時期です。
※表示内容に誤りがある場合は、
　　調達職能人事までご連絡下さい。</t>
        </r>
      </text>
    </comment>
    <comment ref="V15" authorId="0" shapeId="0" xr:uid="{1155BF49-2D39-4089-B6BA-0C4E633420E4}">
      <text>
        <r>
          <rPr>
            <b/>
            <sz val="9"/>
            <color indexed="81"/>
            <rFont val="ＭＳ Ｐゴシック"/>
            <family val="3"/>
            <charset val="128"/>
          </rPr>
          <t>現在の業務を担当してから経過した年数です(4/1時点)
※表示内容に誤りがある場合は、
　　調達職能人事までご連絡下さい。</t>
        </r>
      </text>
    </comment>
    <comment ref="AF15" authorId="0" shapeId="0" xr:uid="{A780285A-25E9-4E7A-826E-0B0CCC2DD175}">
      <text>
        <r>
          <rPr>
            <b/>
            <sz val="9"/>
            <color indexed="81"/>
            <rFont val="ＭＳ Ｐゴシック"/>
            <family val="3"/>
            <charset val="128"/>
          </rPr>
          <t>今年度、人事異動があった場合、異動した月を入力してください。
※計画入力時には入力不要です。</t>
        </r>
      </text>
    </comment>
    <comment ref="AG15" authorId="0" shapeId="0" xr:uid="{407EA550-B293-40CD-8389-079A82421675}">
      <text>
        <r>
          <rPr>
            <b/>
            <sz val="9"/>
            <color indexed="81"/>
            <rFont val="ＭＳ Ｐゴシック"/>
            <family val="3"/>
            <charset val="128"/>
          </rPr>
          <t>今年度、人事異動があった場合、異動先の組織名称を入力して下さい。
組織名称は可能な限り正確に入力をお願いします。
※計画入力時には入力不要です。</t>
        </r>
      </text>
    </comment>
    <comment ref="AH15" authorId="0" shapeId="0" xr:uid="{9476FDE9-D3E8-4E62-BCE2-2D80863D79DD}">
      <text>
        <r>
          <rPr>
            <b/>
            <sz val="9"/>
            <color indexed="81"/>
            <rFont val="ＭＳ Ｐゴシック"/>
            <family val="3"/>
            <charset val="128"/>
          </rPr>
          <t>バイヤー認定の取得を計画している年度を選択してください。</t>
        </r>
      </text>
    </comment>
    <comment ref="AI15" authorId="0" shapeId="0" xr:uid="{564FAAAA-1837-45D9-9D51-622473C7C6F5}">
      <text>
        <r>
          <rPr>
            <b/>
            <sz val="9"/>
            <color indexed="81"/>
            <rFont val="ＭＳ Ｐゴシック"/>
            <family val="3"/>
            <charset val="128"/>
          </rPr>
          <t>取得を計画しているバイヤー認定級を選択してください。</t>
        </r>
      </text>
    </comment>
    <comment ref="AJ15" authorId="0" shapeId="0" xr:uid="{577FD00D-65C1-4920-B55D-5F01413A87DA}">
      <text>
        <r>
          <rPr>
            <b/>
            <sz val="9"/>
            <color indexed="81"/>
            <rFont val="ＭＳ Ｐゴシック"/>
            <family val="3"/>
            <charset val="128"/>
          </rPr>
          <t>登用を計画している年度を選択してください。</t>
        </r>
      </text>
    </comment>
    <comment ref="AK15" authorId="0" shapeId="0" xr:uid="{50125704-4725-429B-AD60-18A64CB0D724}">
      <text>
        <r>
          <rPr>
            <b/>
            <sz val="9"/>
            <color indexed="81"/>
            <rFont val="ＭＳ Ｐゴシック"/>
            <family val="3"/>
            <charset val="128"/>
          </rPr>
          <t>登用を計画している等級群を選択してください。</t>
        </r>
      </text>
    </comment>
    <comment ref="AM15" authorId="0" shapeId="0" xr:uid="{210609D3-E062-4F42-B7E4-1647FAF1405E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✔
異動計画なし　→　空白</t>
        </r>
      </text>
    </comment>
    <comment ref="AN15" authorId="0" shapeId="0" xr:uid="{617D9731-CDB1-4B94-A2F7-04B4F8921349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その年度における、定年退職などの退職予定の有無を選択してください。
※退職予定ありを選択した場合、以降の異動計画は入力できなくなります。
退職予定あり　→　✔
退職予定なし　→　空白</t>
        </r>
      </text>
    </comment>
    <comment ref="AO15" authorId="0" shapeId="0" xr:uid="{D5E0B6E4-A5F4-4CD7-BEA0-AE6E77405028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AP15" authorId="0" shapeId="0" xr:uid="{492FF12E-3B70-4CB4-9016-FC21C94A38BC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異動する予定の月を選択してください。</t>
        </r>
      </text>
    </comment>
    <comment ref="AQ15" authorId="0" shapeId="0" xr:uid="{58BE58AE-3DB5-4871-B9F0-BE26C3EF3A43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AR15" authorId="0" shapeId="0" xr:uid="{C58A86F4-23F4-41DD-BC17-E7C2799E04BF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AS15" authorId="0" shapeId="0" xr:uid="{AC6AA502-E881-48C3-A020-D2465688BAE1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AT15" authorId="0" shapeId="0" xr:uid="{975227CA-21B0-42B3-B09C-C70D8B580ED3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AU15" authorId="0" shapeId="0" xr:uid="{E629E3C0-BB96-4333-AA56-5672EDE9D9EC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AV15" authorId="0" shapeId="0" xr:uid="{B28DAC55-71B4-4DA7-8D97-44251D9E7631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W15" authorId="0" shapeId="0" xr:uid="{CCFD1DEA-7561-4263-BD6B-35B3742B3649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X15" authorId="0" shapeId="0" xr:uid="{513EAA26-8970-4808-AC25-D42D7F91AE04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✔
異動計画なし　→　空白</t>
        </r>
      </text>
    </comment>
    <comment ref="AY15" authorId="0" shapeId="0" xr:uid="{46569E06-3288-4292-B2D3-57C28A75D065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その年度における、定年退職などの退職予定の有無を選択してください。
※退職予定ありを選択した場合、以降の異動計画は入力できなくなります。
退職予定あり　→　✔
退職予定なし　→　空白</t>
        </r>
      </text>
    </comment>
    <comment ref="AZ15" authorId="0" shapeId="0" xr:uid="{0B7ED2AF-4BCD-40F1-B732-D4A46ADC5525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BA15" authorId="0" shapeId="0" xr:uid="{1D47FE91-0C97-40FF-89C5-2A724665C6FB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異動する予定の月を選択してください。</t>
        </r>
      </text>
    </comment>
    <comment ref="BB15" authorId="0" shapeId="0" xr:uid="{3A59E128-BCFE-4DEC-98E3-04F1938D5005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BC15" authorId="0" shapeId="0" xr:uid="{C119EC01-0108-4583-A961-FC5A330D9A3B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BD15" authorId="0" shapeId="0" xr:uid="{37655DE9-828C-4FE2-87FD-10D2D0513DAF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BE15" authorId="0" shapeId="0" xr:uid="{52D520C8-3A94-46E6-8625-C127E368A05B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BF15" authorId="0" shapeId="0" xr:uid="{626CE50B-0FC1-47C2-ADC9-1AE8265F1A32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BG15" authorId="0" shapeId="0" xr:uid="{707FCB69-3C8D-4AE1-9C24-F12929A0C9D9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H15" authorId="0" shapeId="0" xr:uid="{AD5B8C01-2DA3-425D-AEAA-F28917952341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I15" authorId="0" shapeId="0" xr:uid="{28BF5388-D9CD-4CB7-A772-DDD9F8D9B69B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✔
異動計画なし　→　空白</t>
        </r>
      </text>
    </comment>
    <comment ref="BJ15" authorId="0" shapeId="0" xr:uid="{672A58B8-4638-4A9D-8B65-3F48E5413C20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その年度における、定年退職などの退職予定の有無を選択してください。
※退職予定ありを選択した場合、以降の異動計画は入力できなくなります。
退職予定あり　→　✔
退職予定なし　→　空白</t>
        </r>
      </text>
    </comment>
    <comment ref="BK15" authorId="0" shapeId="0" xr:uid="{A917B51A-0599-4C80-AE30-A0E7919E8F0B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BL15" authorId="0" shapeId="0" xr:uid="{B703838B-35D2-4728-8464-FE45468220E5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異動する予定の月を選択してください。</t>
        </r>
      </text>
    </comment>
    <comment ref="BM15" authorId="0" shapeId="0" xr:uid="{8E79BE89-EE59-42AB-9F25-345591E2CD01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BN15" authorId="0" shapeId="0" xr:uid="{578C922E-A026-436E-AF2C-4CA935FA5986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BO15" authorId="0" shapeId="0" xr:uid="{CC93980D-A598-4133-B951-7CF7248AD827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BP15" authorId="0" shapeId="0" xr:uid="{85864035-6456-4895-8D78-05B479033539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BQ15" authorId="0" shapeId="0" xr:uid="{7DDC6CCA-F185-4282-9252-C4AFFCB44DF0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BR15" authorId="0" shapeId="0" xr:uid="{195982B4-96A2-4153-92C4-73C8D51F7CAB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S15" authorId="0" shapeId="0" xr:uid="{65669E9D-C45C-48EC-8353-C093B5859B5F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T15" authorId="0" shapeId="0" xr:uid="{8C3E44CB-F8DD-4BAD-ACB7-2100D82106F2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✔
異動計画なし　→　空白</t>
        </r>
      </text>
    </comment>
    <comment ref="BU15" authorId="0" shapeId="0" xr:uid="{2AEF81FD-F303-4F7F-BE6F-2F1A65A67556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その年度における、定年退職などの退職予定の有無を選択してください。
※退職予定ありを選択した場合、以降の異動計画は入力できなくなります。
退職予定あり　→　✔
退職予定なし　→　空白</t>
        </r>
      </text>
    </comment>
    <comment ref="BV15" authorId="0" shapeId="0" xr:uid="{18F3710E-647C-4F33-9844-D8A5127EC11A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BW15" authorId="0" shapeId="0" xr:uid="{43A704A4-7331-461D-B6A4-A87BB227F58D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異動する予定の月を選択してください。</t>
        </r>
      </text>
    </comment>
    <comment ref="BX15" authorId="0" shapeId="0" xr:uid="{57F837D3-52CE-4E47-A687-994523FB24ED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BY15" authorId="0" shapeId="0" xr:uid="{B5113148-6A2A-43C8-ABFD-98D5230DB9A8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BZ15" authorId="0" shapeId="0" xr:uid="{6DF129B8-9730-4B0B-A209-F19FABA2FB8F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CA15" authorId="0" shapeId="0" xr:uid="{D28137ED-CFCB-4864-8F9C-BA676070B904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CB15" authorId="0" shapeId="0" xr:uid="{18FDD536-8EA7-4C56-8E81-8AA0BB891BF0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CC15" authorId="0" shapeId="0" xr:uid="{51316B64-9318-44C0-838D-E493A738EF22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D15" authorId="0" shapeId="0" xr:uid="{B3274ECF-989D-47E6-BD5F-50036869A796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E15" authorId="0" shapeId="0" xr:uid="{7B6F1BE7-756C-429A-A2D5-D1A5E1050096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その年度における、異動計画の有無を選択してください。
異動計画あり　→　✔
異動計画なし　→　空白</t>
        </r>
      </text>
    </comment>
    <comment ref="CF15" authorId="0" shapeId="0" xr:uid="{8CF68E58-C780-4FB8-8F32-535B34C6EE90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その年度における、定年退職などの退職予定の有無を選択してください。
※退職予定ありを選択した場合、以降の異動計画は入力できなくなります。
退職予定あり　→　✔
退職予定なし　→　空白</t>
        </r>
      </text>
    </comment>
    <comment ref="CG15" authorId="0" shapeId="0" xr:uid="{78805CC2-6BF0-4EF7-B75D-6BB883F3DDE0}">
      <text>
        <r>
          <rPr>
            <b/>
            <sz val="9"/>
            <color indexed="81"/>
            <rFont val="ＭＳ Ｐゴシック"/>
            <family val="3"/>
            <charset val="128"/>
          </rPr>
          <t>その年度に担当する業務を入力して下さい。
（例：ハーネスの集中購買業務）</t>
        </r>
      </text>
    </comment>
    <comment ref="CH15" authorId="0" shapeId="0" xr:uid="{9C61048B-79D4-4E4B-B2F2-23F26B57CB51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異動する予定の月を選択してください。</t>
        </r>
      </text>
    </comment>
    <comment ref="CI15" authorId="0" shapeId="0" xr:uid="{348AC585-0180-4592-B0C7-18836B75C0FB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CJ15" authorId="0" shapeId="0" xr:uid="{6C09A5D4-BCA5-43AC-A925-7B7E72E58D38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CK15" authorId="0" shapeId="0" xr:uid="{B6EC7FF9-2F39-469C-921F-BFF724FA1916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CL15" authorId="0" shapeId="0" xr:uid="{7BF5AE5C-644E-46C5-BFF3-68E13C0DB087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CM15" authorId="0" shapeId="0" xr:uid="{08707FBD-F41C-49C6-9468-AE2D6C218BE8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CN15" authorId="0" shapeId="0" xr:uid="{23C2DC9B-C75E-4089-8271-4D7CAF3E1149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O15" authorId="0" shapeId="0" xr:uid="{9BB0775B-5362-47FC-B155-700B88482342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P15" authorId="0" shapeId="0" xr:uid="{0724422C-E10B-479B-91ED-B3010DEA63D4}">
      <text>
        <r>
          <rPr>
            <b/>
            <sz val="9"/>
            <color indexed="81"/>
            <rFont val="ＭＳ Ｐゴシック"/>
            <family val="3"/>
            <charset val="128"/>
          </rPr>
          <t>異動計画の有無を選択してください。
異動計画あり　→　✔
異動計画なし　→　空白</t>
        </r>
      </text>
    </comment>
    <comment ref="CQ15" authorId="0" shapeId="0" xr:uid="{95E56F2D-4B05-42A9-8A9E-7C6B3D7E833E}">
      <text>
        <r>
          <rPr>
            <b/>
            <sz val="9"/>
            <color indexed="81"/>
            <rFont val="ＭＳ Ｐゴシック"/>
            <family val="3"/>
            <charset val="128"/>
          </rPr>
          <t>担当する業務を入力して下さい。
（例：ハーネスの集中購買業務）</t>
        </r>
      </text>
    </comment>
    <comment ref="CR15" authorId="0" shapeId="0" xr:uid="{B858FEDE-EDE5-4180-B676-B05E42BBFCBB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「異動」のチェックを入れた場合、どのような職務を担当するかを選択してください。
変更なし：担当する職務の区分に変更がない
企画・管理：調達の企画・管理業務
契約：調達の契約業務
購買：調達の購買業務
部課長任免：調達組織の部課長以上での役付任命
その他：上記以外、調達職能からの転出など
※その他を選択した場合、「備考」に内容を入力してください。</t>
        </r>
      </text>
    </comment>
    <comment ref="CS15" authorId="0" shapeId="0" xr:uid="{C5335726-5FEE-40E1-88C4-B1A19B3D9050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異動元の事業場と異動先の事業場との関係を選択してください。
変更なし：同一事業場内での異動・業務変更
事業場（センター）外：同一カンパニーの別事業場（センター）への異動
カンパニー外：別カンパニーへの異動
その他：上記以外
※その他を選択した場合、「備考」に内容を入力して下さい。</t>
        </r>
      </text>
    </comment>
    <comment ref="CT15" authorId="0" shapeId="0" xr:uid="{8E93F641-4272-4753-9090-13BB0C2F1FEB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「異動」のチェックを入れた場合、異動先の拠点の分類を選択してください。
変更なし：同一拠点内の異動・業務変更
同一県内：異動元の拠点と同一の都道府県内の拠点への異動
同一県外：異動元の拠点と異なる都道府県の拠点への異動
海外赴任：海外拠点への赴任、海外拠点間の異動
海外帰任：海外から国内への帰任</t>
        </r>
      </text>
    </comment>
    <comment ref="CU15" authorId="0" shapeId="0" xr:uid="{DEB64C17-8978-46A4-AB4C-10227FCE0A53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
異動先の拠点名を入力してください。
（例：群馬、草津）</t>
        </r>
      </text>
    </comment>
    <comment ref="CV15" authorId="0" shapeId="0" xr:uid="{D6F89AC0-3C9A-4A42-812B-E0215E48CF49}">
      <text>
        <r>
          <rPr>
            <b/>
            <sz val="9"/>
            <color indexed="81"/>
            <rFont val="ＭＳ Ｐゴシック"/>
            <family val="3"/>
            <charset val="128"/>
          </rPr>
          <t>「異動」のチェックを入れた場合、異動先の組織名称を入力してください。
（例：●●事業部　管理部　調達課　契約係）
異動先の詳細が未定・不明の場合は、概要でかまいません。
（例：半導体の購買組織、調達課内の別の係）</t>
        </r>
      </text>
    </comment>
    <comment ref="CW15" authorId="0" shapeId="0" xr:uid="{F872DAAA-F88E-47DC-939F-CD3B655E7673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後任手当が必要な場合は「要」を選択してください。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X15" authorId="0" shapeId="0" xr:uid="{ACB7E4C1-C93B-4C6A-B141-9D9B7E7FA158}">
      <text>
        <r>
          <rPr>
            <b/>
            <sz val="9"/>
            <color indexed="81"/>
            <rFont val="ＭＳ Ｐゴシック"/>
            <family val="3"/>
            <charset val="128"/>
          </rPr>
          <t>後任手当が必要な場合、後任に求める要件を入力してください。
（例：樹脂成形に関する調達知識必須、英語は日常会話レベル必須など）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<sst xmlns="http://schemas.openxmlformats.org/spreadsheetml/2006/main" count="401" uniqueCount="168">
  <si>
    <t>■個人別人材育成計画</t>
    <rPh sb="1" eb="3">
      <t>コジン</t>
    </rPh>
    <rPh sb="3" eb="4">
      <t>ベツ</t>
    </rPh>
    <rPh sb="4" eb="6">
      <t>ジンザイ</t>
    </rPh>
    <rPh sb="6" eb="8">
      <t>イクセイ</t>
    </rPh>
    <rPh sb="8" eb="10">
      <t>ケイカク</t>
    </rPh>
    <phoneticPr fontId="7"/>
  </si>
  <si>
    <t>入社年次</t>
    <rPh sb="0" eb="2">
      <t>ニュウシャ</t>
    </rPh>
    <rPh sb="2" eb="4">
      <t>ネンジ</t>
    </rPh>
    <phoneticPr fontId="7"/>
  </si>
  <si>
    <t>同一業務区分</t>
    <rPh sb="0" eb="2">
      <t>ドウイツ</t>
    </rPh>
    <rPh sb="2" eb="4">
      <t>ギョウム</t>
    </rPh>
    <rPh sb="4" eb="6">
      <t>クブン</t>
    </rPh>
    <phoneticPr fontId="7"/>
  </si>
  <si>
    <t>役職分類</t>
    <rPh sb="0" eb="2">
      <t>ヤクショク</t>
    </rPh>
    <rPh sb="2" eb="4">
      <t>ブンルイ</t>
    </rPh>
    <phoneticPr fontId="7"/>
  </si>
  <si>
    <t>人数</t>
    <rPh sb="0" eb="2">
      <t>ニンズウ</t>
    </rPh>
    <phoneticPr fontId="7"/>
  </si>
  <si>
    <t xml:space="preserve">11年目以上
</t>
    <rPh sb="2" eb="4">
      <t>ネンメ</t>
    </rPh>
    <rPh sb="4" eb="6">
      <t>イジョウ</t>
    </rPh>
    <phoneticPr fontId="7"/>
  </si>
  <si>
    <t>5年以上</t>
    <rPh sb="1" eb="4">
      <t>ネンイジョウ</t>
    </rPh>
    <phoneticPr fontId="7"/>
  </si>
  <si>
    <t>(キャリア入社を含む)</t>
    <phoneticPr fontId="7"/>
  </si>
  <si>
    <t>部課長以外</t>
    <rPh sb="0" eb="3">
      <t>ブカチョウ</t>
    </rPh>
    <rPh sb="3" eb="5">
      <t>イガイ</t>
    </rPh>
    <phoneticPr fontId="7"/>
  </si>
  <si>
    <t>5年未満</t>
    <rPh sb="1" eb="2">
      <t>ネン</t>
    </rPh>
    <rPh sb="2" eb="4">
      <t>ミマン</t>
    </rPh>
    <phoneticPr fontId="7"/>
  </si>
  <si>
    <t>6～10年目</t>
    <rPh sb="4" eb="6">
      <t>ネンメ</t>
    </rPh>
    <phoneticPr fontId="7"/>
  </si>
  <si>
    <t>1～5年目</t>
    <rPh sb="3" eb="5">
      <t>ネンメ</t>
    </rPh>
    <phoneticPr fontId="7"/>
  </si>
  <si>
    <t>合計</t>
    <rPh sb="0" eb="2">
      <t>ゴウケイ</t>
    </rPh>
    <phoneticPr fontId="7"/>
  </si>
  <si>
    <t>ステータス</t>
    <phoneticPr fontId="11"/>
  </si>
  <si>
    <t>退職
予定
年度</t>
    <rPh sb="0" eb="2">
      <t>タイショク</t>
    </rPh>
    <rPh sb="3" eb="5">
      <t>ヨテイ</t>
    </rPh>
    <rPh sb="6" eb="8">
      <t>ネンド</t>
    </rPh>
    <phoneticPr fontId="11"/>
  </si>
  <si>
    <t>社員属性</t>
    <rPh sb="0" eb="2">
      <t>シャイン</t>
    </rPh>
    <rPh sb="2" eb="4">
      <t>ゾクセイ</t>
    </rPh>
    <phoneticPr fontId="11"/>
  </si>
  <si>
    <t>入社年次</t>
    <rPh sb="0" eb="2">
      <t>ニュウシャ</t>
    </rPh>
    <rPh sb="2" eb="4">
      <t>ネンジ</t>
    </rPh>
    <phoneticPr fontId="11"/>
  </si>
  <si>
    <t>同一職務・同一事業場
・同一拠点での業務</t>
    <rPh sb="0" eb="2">
      <t>ドウイツ</t>
    </rPh>
    <rPh sb="2" eb="4">
      <t>ショクム</t>
    </rPh>
    <rPh sb="5" eb="7">
      <t>ドウイツ</t>
    </rPh>
    <rPh sb="7" eb="10">
      <t>ジギョウジョウ</t>
    </rPh>
    <rPh sb="12" eb="14">
      <t>ドウイツ</t>
    </rPh>
    <rPh sb="14" eb="16">
      <t>キョテン</t>
    </rPh>
    <rPh sb="18" eb="20">
      <t>ギョウム</t>
    </rPh>
    <phoneticPr fontId="11"/>
  </si>
  <si>
    <t>異動計画（直近）</t>
    <rPh sb="0" eb="2">
      <t>イドウ</t>
    </rPh>
    <rPh sb="2" eb="4">
      <t>ケイカク</t>
    </rPh>
    <rPh sb="5" eb="7">
      <t>チョッキン</t>
    </rPh>
    <phoneticPr fontId="11"/>
  </si>
  <si>
    <t>バイヤー認定計画</t>
    <rPh sb="4" eb="6">
      <t>ニンテイ</t>
    </rPh>
    <rPh sb="6" eb="8">
      <t>ケイカク</t>
    </rPh>
    <phoneticPr fontId="11"/>
  </si>
  <si>
    <t>登用計画</t>
    <rPh sb="0" eb="2">
      <t>トウヨウ</t>
    </rPh>
    <rPh sb="2" eb="4">
      <t>ケイカク</t>
    </rPh>
    <phoneticPr fontId="11"/>
  </si>
  <si>
    <t>異動実績</t>
    <rPh sb="0" eb="2">
      <t>イドウ</t>
    </rPh>
    <rPh sb="2" eb="4">
      <t>ジッセキ</t>
    </rPh>
    <phoneticPr fontId="11"/>
  </si>
  <si>
    <t>GID</t>
    <phoneticPr fontId="11"/>
  </si>
  <si>
    <t>名前</t>
    <rPh sb="0" eb="2">
      <t>ナマエ</t>
    </rPh>
    <phoneticPr fontId="11"/>
  </si>
  <si>
    <t>所属組織</t>
    <rPh sb="0" eb="2">
      <t>ショゾク</t>
    </rPh>
    <rPh sb="2" eb="4">
      <t>ソシキ</t>
    </rPh>
    <phoneticPr fontId="11"/>
  </si>
  <si>
    <t>生年月日</t>
    <rPh sb="0" eb="2">
      <t>セイネン</t>
    </rPh>
    <rPh sb="2" eb="4">
      <t>ガッピ</t>
    </rPh>
    <phoneticPr fontId="11"/>
  </si>
  <si>
    <t>4月
年齢</t>
    <rPh sb="1" eb="2">
      <t>ガツ</t>
    </rPh>
    <rPh sb="3" eb="5">
      <t>ネンレイ</t>
    </rPh>
    <phoneticPr fontId="11"/>
  </si>
  <si>
    <t>性別</t>
    <rPh sb="0" eb="2">
      <t>セイベツ</t>
    </rPh>
    <phoneticPr fontId="11"/>
  </si>
  <si>
    <t>学歴</t>
    <rPh sb="0" eb="2">
      <t>ガクレキ</t>
    </rPh>
    <phoneticPr fontId="11"/>
  </si>
  <si>
    <t>卒年</t>
    <rPh sb="0" eb="1">
      <t>ソツ</t>
    </rPh>
    <rPh sb="1" eb="2">
      <t>ネン</t>
    </rPh>
    <phoneticPr fontId="11"/>
  </si>
  <si>
    <t>入社年</t>
    <rPh sb="0" eb="2">
      <t>ニュウシャ</t>
    </rPh>
    <rPh sb="2" eb="3">
      <t>ネン</t>
    </rPh>
    <phoneticPr fontId="11"/>
  </si>
  <si>
    <t>等級</t>
    <rPh sb="0" eb="2">
      <t>トウキュウ</t>
    </rPh>
    <phoneticPr fontId="11"/>
  </si>
  <si>
    <t>役職</t>
    <rPh sb="0" eb="2">
      <t>ヤクショク</t>
    </rPh>
    <phoneticPr fontId="11"/>
  </si>
  <si>
    <t>役職分類</t>
    <rPh sb="0" eb="2">
      <t>ヤクショク</t>
    </rPh>
    <rPh sb="2" eb="4">
      <t>ブンルイ</t>
    </rPh>
    <phoneticPr fontId="11"/>
  </si>
  <si>
    <t>社員区分</t>
    <rPh sb="0" eb="2">
      <t>シャイン</t>
    </rPh>
    <rPh sb="2" eb="4">
      <t>クブン</t>
    </rPh>
    <phoneticPr fontId="11"/>
  </si>
  <si>
    <t>調達業務
割合(%)</t>
    <rPh sb="0" eb="2">
      <t>チョウタツ</t>
    </rPh>
    <rPh sb="2" eb="4">
      <t>ギョウム</t>
    </rPh>
    <rPh sb="5" eb="7">
      <t>ワリアイ</t>
    </rPh>
    <phoneticPr fontId="11"/>
  </si>
  <si>
    <t>バイヤー
認定</t>
    <rPh sb="5" eb="7">
      <t>ニンテイ</t>
    </rPh>
    <phoneticPr fontId="7"/>
  </si>
  <si>
    <t>業務
開始年月</t>
    <rPh sb="0" eb="2">
      <t>ギョウム</t>
    </rPh>
    <rPh sb="3" eb="5">
      <t>カイシ</t>
    </rPh>
    <rPh sb="5" eb="7">
      <t>ネンゲツ</t>
    </rPh>
    <phoneticPr fontId="11"/>
  </si>
  <si>
    <t>経過年
(4/1時点)</t>
    <rPh sb="0" eb="2">
      <t>ケイカ</t>
    </rPh>
    <rPh sb="2" eb="3">
      <t>ネン</t>
    </rPh>
    <rPh sb="8" eb="9">
      <t>ジ</t>
    </rPh>
    <rPh sb="9" eb="10">
      <t>テン</t>
    </rPh>
    <phoneticPr fontId="11"/>
  </si>
  <si>
    <t>区分</t>
    <rPh sb="0" eb="2">
      <t>クブン</t>
    </rPh>
    <phoneticPr fontId="7"/>
  </si>
  <si>
    <t>年度</t>
    <rPh sb="0" eb="2">
      <t>ネンド</t>
    </rPh>
    <phoneticPr fontId="11"/>
  </si>
  <si>
    <t>職務</t>
    <rPh sb="0" eb="2">
      <t>ショクム</t>
    </rPh>
    <phoneticPr fontId="11"/>
  </si>
  <si>
    <t>事業場</t>
    <rPh sb="0" eb="3">
      <t>ジギョウジョウ</t>
    </rPh>
    <phoneticPr fontId="11"/>
  </si>
  <si>
    <t>拠点</t>
    <rPh sb="0" eb="2">
      <t>キョテン</t>
    </rPh>
    <phoneticPr fontId="11"/>
  </si>
  <si>
    <t>異動先拠点</t>
    <rPh sb="0" eb="2">
      <t>イドウ</t>
    </rPh>
    <rPh sb="2" eb="3">
      <t>サキ</t>
    </rPh>
    <rPh sb="3" eb="5">
      <t>キョテン</t>
    </rPh>
    <phoneticPr fontId="7"/>
  </si>
  <si>
    <t>異動先の組織</t>
    <rPh sb="0" eb="2">
      <t>イドウ</t>
    </rPh>
    <rPh sb="2" eb="3">
      <t>サキ</t>
    </rPh>
    <rPh sb="4" eb="6">
      <t>ソシキ</t>
    </rPh>
    <phoneticPr fontId="7"/>
  </si>
  <si>
    <t>後任
要否</t>
    <rPh sb="0" eb="2">
      <t>コウニン</t>
    </rPh>
    <rPh sb="3" eb="5">
      <t>ヨウヒ</t>
    </rPh>
    <phoneticPr fontId="11"/>
  </si>
  <si>
    <t>後任要件</t>
    <rPh sb="0" eb="2">
      <t>コウニン</t>
    </rPh>
    <rPh sb="2" eb="4">
      <t>ヨウケン</t>
    </rPh>
    <phoneticPr fontId="11"/>
  </si>
  <si>
    <t>認定
年度</t>
    <rPh sb="0" eb="2">
      <t>ニンテイ</t>
    </rPh>
    <rPh sb="3" eb="5">
      <t>ネンド</t>
    </rPh>
    <phoneticPr fontId="11"/>
  </si>
  <si>
    <t>認定級</t>
    <rPh sb="0" eb="2">
      <t>ニンテイ</t>
    </rPh>
    <rPh sb="2" eb="3">
      <t>キュウ</t>
    </rPh>
    <phoneticPr fontId="11"/>
  </si>
  <si>
    <t>登用
年度</t>
    <rPh sb="0" eb="2">
      <t>トウヨウ</t>
    </rPh>
    <rPh sb="3" eb="5">
      <t>ネンド</t>
    </rPh>
    <phoneticPr fontId="11"/>
  </si>
  <si>
    <t>等級群</t>
    <rPh sb="0" eb="2">
      <t>トウキュウ</t>
    </rPh>
    <rPh sb="2" eb="3">
      <t>グン</t>
    </rPh>
    <phoneticPr fontId="11"/>
  </si>
  <si>
    <t>異動月</t>
    <rPh sb="0" eb="2">
      <t>イドウ</t>
    </rPh>
    <rPh sb="2" eb="3">
      <t>ツキ</t>
    </rPh>
    <phoneticPr fontId="11"/>
  </si>
  <si>
    <t>異動先の組織</t>
    <rPh sb="0" eb="2">
      <t>イドウ</t>
    </rPh>
    <rPh sb="2" eb="3">
      <t>サキ</t>
    </rPh>
    <rPh sb="4" eb="6">
      <t>ソシキ</t>
    </rPh>
    <phoneticPr fontId="11"/>
  </si>
  <si>
    <t>マクロを有効にしてください</t>
    <rPh sb="4" eb="6">
      <t>ユウコウ</t>
    </rPh>
    <phoneticPr fontId="16"/>
  </si>
  <si>
    <t>マクロを有効にできない方へ</t>
    <rPh sb="4" eb="6">
      <t>ユウコウ</t>
    </rPh>
    <rPh sb="11" eb="12">
      <t>カタ</t>
    </rPh>
    <phoneticPr fontId="16"/>
  </si>
  <si>
    <t>現在、マクロの設定が無効になっているため、マクロの実行が行なえません。</t>
    <rPh sb="0" eb="2">
      <t>ゲンザイ</t>
    </rPh>
    <rPh sb="7" eb="9">
      <t>セッテイ</t>
    </rPh>
    <rPh sb="10" eb="12">
      <t>ムコウ</t>
    </rPh>
    <rPh sb="25" eb="27">
      <t>ジッコウ</t>
    </rPh>
    <rPh sb="28" eb="29">
      <t>オコ</t>
    </rPh>
    <phoneticPr fontId="16"/>
  </si>
  <si>
    <t>マクロ設定の変更を実施していただきますようお願いいたします。</t>
    <rPh sb="3" eb="5">
      <t>セッテイ</t>
    </rPh>
    <rPh sb="6" eb="8">
      <t>ヘンコウ</t>
    </rPh>
    <rPh sb="9" eb="11">
      <t>ジッシ</t>
    </rPh>
    <rPh sb="22" eb="23">
      <t>ネガ</t>
    </rPh>
    <phoneticPr fontId="16"/>
  </si>
  <si>
    <t>○ステップ１（一度だけ実施要）</t>
    <rPh sb="7" eb="9">
      <t>イチド</t>
    </rPh>
    <rPh sb="11" eb="13">
      <t>ジッシ</t>
    </rPh>
    <rPh sb="13" eb="14">
      <t>ヨウ</t>
    </rPh>
    <phoneticPr fontId="16"/>
  </si>
  <si>
    <t>・ファイルタブ（Excel画面右上）を押下し、左側のメニューから[オプション]を選択し、Excelのオプションウィンドウを開く。</t>
    <rPh sb="13" eb="17">
      <t>ガメンミギウエ</t>
    </rPh>
    <rPh sb="19" eb="21">
      <t>オウカ</t>
    </rPh>
    <rPh sb="23" eb="25">
      <t>ヒダリガワ</t>
    </rPh>
    <rPh sb="40" eb="42">
      <t>センタク</t>
    </rPh>
    <rPh sb="61" eb="62">
      <t>ヒラ</t>
    </rPh>
    <phoneticPr fontId="16"/>
  </si>
  <si>
    <t>・左側のメニューから[セキュリティセンター]を選択し、[セキュリティセンターの設定(T)」ボタンを押下し、セキュリティセンターウィンドウを開く。</t>
    <rPh sb="1" eb="3">
      <t>ヒダリガワ</t>
    </rPh>
    <rPh sb="23" eb="25">
      <t>センタク</t>
    </rPh>
    <rPh sb="39" eb="41">
      <t>セッテイ</t>
    </rPh>
    <rPh sb="49" eb="51">
      <t>オウカ</t>
    </rPh>
    <rPh sb="69" eb="70">
      <t>ヒラ</t>
    </rPh>
    <phoneticPr fontId="16"/>
  </si>
  <si>
    <t>・一度Excelを終了します。</t>
    <rPh sb="1" eb="3">
      <t>イチド</t>
    </rPh>
    <rPh sb="9" eb="11">
      <t>シュウリョウ</t>
    </rPh>
    <phoneticPr fontId="16"/>
  </si>
  <si>
    <t>○ステップ２（毎回オープン次実施要）</t>
    <rPh sb="7" eb="9">
      <t>マイカイ</t>
    </rPh>
    <rPh sb="13" eb="14">
      <t>ジ</t>
    </rPh>
    <rPh sb="14" eb="16">
      <t>ジッシ</t>
    </rPh>
    <rPh sb="16" eb="17">
      <t>ヨウ</t>
    </rPh>
    <phoneticPr fontId="16"/>
  </si>
  <si>
    <t>・Excelファイルを開くと、セキュリティの警告のバーが表示されるので、[コンテンツの有効化]ボタンを押下する。</t>
    <rPh sb="11" eb="12">
      <t>ヒラ</t>
    </rPh>
    <rPh sb="22" eb="24">
      <t>ケイコク</t>
    </rPh>
    <rPh sb="28" eb="30">
      <t>ヒョウジ</t>
    </rPh>
    <rPh sb="43" eb="46">
      <t>ユウコウカ</t>
    </rPh>
    <rPh sb="51" eb="53">
      <t>オウカ</t>
    </rPh>
    <phoneticPr fontId="16"/>
  </si>
  <si>
    <t>◆本ファイルは、Microsoft Excel 2016を前提としています。</t>
    <rPh sb="1" eb="2">
      <t>ホン</t>
    </rPh>
    <rPh sb="29" eb="31">
      <t>ゼンテイ</t>
    </rPh>
    <phoneticPr fontId="16"/>
  </si>
  <si>
    <t>チェック結果</t>
    <rPh sb="4" eb="6">
      <t>ケッカ</t>
    </rPh>
    <phoneticPr fontId="2"/>
  </si>
  <si>
    <t>項目名</t>
    <rPh sb="0" eb="3">
      <t>コウモクメイ</t>
    </rPh>
    <phoneticPr fontId="2"/>
  </si>
  <si>
    <t>エラー内容</t>
    <rPh sb="3" eb="5">
      <t>ナイヨウ</t>
    </rPh>
    <phoneticPr fontId="2"/>
  </si>
  <si>
    <t>異動</t>
    <rPh sb="0" eb="2">
      <t>イドウ</t>
    </rPh>
    <phoneticPr fontId="11"/>
  </si>
  <si>
    <t>部長</t>
    <rPh sb="0" eb="2">
      <t>ブチョウ</t>
    </rPh>
    <phoneticPr fontId="7"/>
  </si>
  <si>
    <t>次年度末までの退職予定者</t>
    <rPh sb="0" eb="3">
      <t>ジネンド</t>
    </rPh>
    <rPh sb="3" eb="4">
      <t>マツ</t>
    </rPh>
    <rPh sb="7" eb="9">
      <t>タイショク</t>
    </rPh>
    <rPh sb="9" eb="12">
      <t>ヨテイシャ</t>
    </rPh>
    <phoneticPr fontId="7"/>
  </si>
  <si>
    <t>現在の担当業務</t>
    <rPh sb="0" eb="2">
      <t>ゲンザイ</t>
    </rPh>
    <rPh sb="3" eb="5">
      <t>タントウ</t>
    </rPh>
    <rPh sb="5" eb="7">
      <t>ギョウム</t>
    </rPh>
    <phoneticPr fontId="11"/>
  </si>
  <si>
    <t>異動計画（2018年度）</t>
    <phoneticPr fontId="7"/>
  </si>
  <si>
    <t>異動計画（2019年度）</t>
    <phoneticPr fontId="7"/>
  </si>
  <si>
    <t>異動計画（2020年度）</t>
    <phoneticPr fontId="7"/>
  </si>
  <si>
    <t>担当業務計画（2021年度）</t>
    <phoneticPr fontId="7"/>
  </si>
  <si>
    <t>異動計画（2021年度）</t>
    <phoneticPr fontId="7"/>
  </si>
  <si>
    <t>担当業務計画（未定）</t>
    <rPh sb="7" eb="9">
      <t>ミテイ</t>
    </rPh>
    <phoneticPr fontId="7"/>
  </si>
  <si>
    <t>異動計画（未定）</t>
    <phoneticPr fontId="7"/>
  </si>
  <si>
    <t>備考</t>
    <rPh sb="0" eb="2">
      <t>ビコウ</t>
    </rPh>
    <phoneticPr fontId="11"/>
  </si>
  <si>
    <t>等級群</t>
    <rPh sb="0" eb="2">
      <t>トウキュウ</t>
    </rPh>
    <rPh sb="2" eb="3">
      <t>グン</t>
    </rPh>
    <phoneticPr fontId="7"/>
  </si>
  <si>
    <t>退職</t>
    <rPh sb="0" eb="2">
      <t>タイショク</t>
    </rPh>
    <phoneticPr fontId="7"/>
  </si>
  <si>
    <t>担当業務</t>
    <rPh sb="0" eb="4">
      <t>タントウギョウム</t>
    </rPh>
    <phoneticPr fontId="7"/>
  </si>
  <si>
    <t>異動月</t>
    <rPh sb="0" eb="2">
      <t>イドウ</t>
    </rPh>
    <rPh sb="2" eb="3">
      <t>ツキ</t>
    </rPh>
    <phoneticPr fontId="7"/>
  </si>
  <si>
    <t>編集不可</t>
    <rPh sb="0" eb="4">
      <t>ヘンシュウフカ</t>
    </rPh>
    <phoneticPr fontId="7"/>
  </si>
  <si>
    <t>ダウンロード時点の情報を表示します
（担当業務計画を編集しても反映されません）</t>
    <rPh sb="6" eb="8">
      <t>ジテン</t>
    </rPh>
    <rPh sb="9" eb="11">
      <t>ジョウホウ</t>
    </rPh>
    <rPh sb="12" eb="14">
      <t>ヒョウジ</t>
    </rPh>
    <rPh sb="19" eb="23">
      <t>タントウギョウム</t>
    </rPh>
    <rPh sb="23" eb="25">
      <t>ケイカク</t>
    </rPh>
    <rPh sb="26" eb="28">
      <t>ヘンシュウ</t>
    </rPh>
    <rPh sb="31" eb="33">
      <t>ハンエイ</t>
    </rPh>
    <phoneticPr fontId="7"/>
  </si>
  <si>
    <t>リストから選択</t>
    <rPh sb="5" eb="7">
      <t>センタク</t>
    </rPh>
    <phoneticPr fontId="7"/>
  </si>
  <si>
    <t>改行不可
（半角スペースに変換）</t>
    <rPh sb="0" eb="2">
      <t>カイギョウ</t>
    </rPh>
    <rPh sb="2" eb="4">
      <t>フカ</t>
    </rPh>
    <rPh sb="6" eb="8">
      <t>ハンカク</t>
    </rPh>
    <rPh sb="13" eb="15">
      <t>ヘンカン</t>
    </rPh>
    <phoneticPr fontId="7"/>
  </si>
  <si>
    <t>異動予定は○を選択</t>
    <rPh sb="0" eb="2">
      <t>イドウ</t>
    </rPh>
    <rPh sb="2" eb="4">
      <t>ヨテイ</t>
    </rPh>
    <rPh sb="7" eb="9">
      <t>センタク</t>
    </rPh>
    <phoneticPr fontId="7"/>
  </si>
  <si>
    <t>退職選択時、次年度以降入力不可</t>
    <rPh sb="0" eb="2">
      <t>タイショク</t>
    </rPh>
    <rPh sb="2" eb="4">
      <t>センタク</t>
    </rPh>
    <rPh sb="4" eb="5">
      <t>ジ</t>
    </rPh>
    <rPh sb="6" eb="9">
      <t>ジネンド</t>
    </rPh>
    <rPh sb="9" eb="11">
      <t>イコウ</t>
    </rPh>
    <rPh sb="11" eb="13">
      <t>ニュウリョク</t>
    </rPh>
    <rPh sb="13" eb="15">
      <t>フカ</t>
    </rPh>
    <phoneticPr fontId="7"/>
  </si>
  <si>
    <t>「異動あり」時、入力必須</t>
    <rPh sb="1" eb="3">
      <t>イドウ</t>
    </rPh>
    <rPh sb="6" eb="7">
      <t>ジ</t>
    </rPh>
    <rPh sb="8" eb="12">
      <t>ニュウリョクヒッス</t>
    </rPh>
    <phoneticPr fontId="7"/>
  </si>
  <si>
    <t>拠点「変更なし」以外選択時、入力必須</t>
    <rPh sb="0" eb="2">
      <t>キョテン</t>
    </rPh>
    <rPh sb="3" eb="5">
      <t>ヘンコウ</t>
    </rPh>
    <rPh sb="8" eb="10">
      <t>イガイ</t>
    </rPh>
    <rPh sb="10" eb="12">
      <t>センタク</t>
    </rPh>
    <rPh sb="12" eb="13">
      <t>ジ</t>
    </rPh>
    <rPh sb="14" eb="18">
      <t>ニュウリョクヒッス</t>
    </rPh>
    <phoneticPr fontId="7"/>
  </si>
  <si>
    <t>後任"要"選択時、後任要件入力必須</t>
    <rPh sb="0" eb="2">
      <t>コウニン</t>
    </rPh>
    <rPh sb="3" eb="4">
      <t>ヨウ</t>
    </rPh>
    <rPh sb="5" eb="7">
      <t>センタク</t>
    </rPh>
    <rPh sb="7" eb="8">
      <t>ジ</t>
    </rPh>
    <rPh sb="9" eb="11">
      <t>コウニン</t>
    </rPh>
    <rPh sb="11" eb="13">
      <t>ヨウケン</t>
    </rPh>
    <rPh sb="13" eb="17">
      <t>ニュウリョクヒッス</t>
    </rPh>
    <phoneticPr fontId="7"/>
  </si>
  <si>
    <t>後任「要」選択時、入力必須</t>
    <rPh sb="0" eb="2">
      <t>コウニン</t>
    </rPh>
    <rPh sb="3" eb="4">
      <t>ヨウ</t>
    </rPh>
    <rPh sb="5" eb="7">
      <t>センタク</t>
    </rPh>
    <rPh sb="7" eb="8">
      <t>ジ</t>
    </rPh>
    <rPh sb="9" eb="13">
      <t>ニュウリョクヒッス</t>
    </rPh>
    <phoneticPr fontId="7"/>
  </si>
  <si>
    <t>マスタ定義</t>
    <rPh sb="3" eb="5">
      <t>テイギ</t>
    </rPh>
    <phoneticPr fontId="2"/>
  </si>
  <si>
    <t>担当業務計画（2018年度）</t>
    <rPh sb="0" eb="4">
      <t>タントウギョウム</t>
    </rPh>
    <rPh sb="4" eb="6">
      <t>ケイカク</t>
    </rPh>
    <rPh sb="11" eb="13">
      <t>ネンド</t>
    </rPh>
    <phoneticPr fontId="7"/>
  </si>
  <si>
    <t>担当業務計画（2019年度）</t>
    <phoneticPr fontId="7"/>
  </si>
  <si>
    <t>担当業務計画（2020年度）</t>
    <rPh sb="0" eb="2">
      <t>タントウ</t>
    </rPh>
    <rPh sb="2" eb="4">
      <t>ギョウム</t>
    </rPh>
    <rPh sb="4" eb="6">
      <t>ケイカク</t>
    </rPh>
    <rPh sb="11" eb="13">
      <t>ネンド</t>
    </rPh>
    <phoneticPr fontId="7"/>
  </si>
  <si>
    <t>担当業務計画（2022年度）</t>
    <phoneticPr fontId="7"/>
  </si>
  <si>
    <t>異動計画（2022年度）</t>
    <phoneticPr fontId="7"/>
  </si>
  <si>
    <t>03</t>
    <phoneticPr fontId="2"/>
  </si>
  <si>
    <t>04</t>
    <phoneticPr fontId="2"/>
  </si>
  <si>
    <t>05</t>
  </si>
  <si>
    <t>06</t>
  </si>
  <si>
    <t>07</t>
  </si>
  <si>
    <t>08</t>
  </si>
  <si>
    <t>09</t>
  </si>
  <si>
    <t>10</t>
  </si>
  <si>
    <t>11</t>
  </si>
  <si>
    <t>12</t>
  </si>
  <si>
    <t>01</t>
    <phoneticPr fontId="2"/>
  </si>
  <si>
    <t>02</t>
    <phoneticPr fontId="2"/>
  </si>
  <si>
    <t>（バイヤー認定）認定年度</t>
    <rPh sb="5" eb="7">
      <t>ニンテイ</t>
    </rPh>
    <rPh sb="8" eb="10">
      <t>ニンテイ</t>
    </rPh>
    <rPh sb="10" eb="12">
      <t>ネンド</t>
    </rPh>
    <phoneticPr fontId="2"/>
  </si>
  <si>
    <t>2018</t>
    <phoneticPr fontId="2"/>
  </si>
  <si>
    <t>2019</t>
    <phoneticPr fontId="2"/>
  </si>
  <si>
    <t>2020</t>
  </si>
  <si>
    <t>2021</t>
  </si>
  <si>
    <t>2022</t>
  </si>
  <si>
    <t>2023</t>
  </si>
  <si>
    <t>（バイヤー認定）認定級</t>
    <rPh sb="5" eb="7">
      <t>ニンテイ</t>
    </rPh>
    <rPh sb="8" eb="10">
      <t>ニンテイ</t>
    </rPh>
    <rPh sb="10" eb="11">
      <t>キュウ</t>
    </rPh>
    <phoneticPr fontId="2"/>
  </si>
  <si>
    <t>バイヤー1級</t>
    <rPh sb="5" eb="6">
      <t>キュウ</t>
    </rPh>
    <phoneticPr fontId="2"/>
  </si>
  <si>
    <t>バイヤー2級</t>
    <rPh sb="5" eb="6">
      <t>キュウ</t>
    </rPh>
    <phoneticPr fontId="2"/>
  </si>
  <si>
    <t>（登用計画）登用年度</t>
    <rPh sb="1" eb="3">
      <t>トウヨウ</t>
    </rPh>
    <rPh sb="3" eb="5">
      <t>ケイカク</t>
    </rPh>
    <rPh sb="6" eb="8">
      <t>トウヨウ</t>
    </rPh>
    <rPh sb="8" eb="10">
      <t>ネンド</t>
    </rPh>
    <phoneticPr fontId="2"/>
  </si>
  <si>
    <t>（バイヤー認定）等級群</t>
    <rPh sb="5" eb="7">
      <t>ニンテイ</t>
    </rPh>
    <rPh sb="8" eb="10">
      <t>トウキュウ</t>
    </rPh>
    <rPh sb="10" eb="11">
      <t>グン</t>
    </rPh>
    <phoneticPr fontId="2"/>
  </si>
  <si>
    <t>経営職</t>
    <rPh sb="0" eb="2">
      <t>ケイエイ</t>
    </rPh>
    <rPh sb="2" eb="3">
      <t>ショク</t>
    </rPh>
    <phoneticPr fontId="2"/>
  </si>
  <si>
    <t>基幹職</t>
    <rPh sb="0" eb="2">
      <t>キカン</t>
    </rPh>
    <rPh sb="2" eb="3">
      <t>ショク</t>
    </rPh>
    <phoneticPr fontId="2"/>
  </si>
  <si>
    <t>主務職</t>
    <rPh sb="0" eb="2">
      <t>シュム</t>
    </rPh>
    <rPh sb="2" eb="3">
      <t>ショク</t>
    </rPh>
    <phoneticPr fontId="2"/>
  </si>
  <si>
    <t>異動・退職</t>
    <rPh sb="0" eb="2">
      <t>イドウ</t>
    </rPh>
    <rPh sb="3" eb="5">
      <t>タイショク</t>
    </rPh>
    <phoneticPr fontId="2"/>
  </si>
  <si>
    <t>○</t>
    <phoneticPr fontId="2"/>
  </si>
  <si>
    <t>（異動実績・異動計画）異動月</t>
    <rPh sb="1" eb="3">
      <t>イドウ</t>
    </rPh>
    <rPh sb="3" eb="5">
      <t>ジッセキ</t>
    </rPh>
    <rPh sb="6" eb="8">
      <t>イドウ</t>
    </rPh>
    <rPh sb="8" eb="10">
      <t>ケイカク</t>
    </rPh>
    <rPh sb="11" eb="13">
      <t>イドウ</t>
    </rPh>
    <rPh sb="13" eb="14">
      <t>ツキ</t>
    </rPh>
    <phoneticPr fontId="2"/>
  </si>
  <si>
    <t>（異動計画）職務</t>
    <rPh sb="1" eb="3">
      <t>イドウ</t>
    </rPh>
    <rPh sb="3" eb="5">
      <t>ケイカク</t>
    </rPh>
    <rPh sb="6" eb="8">
      <t>ショクム</t>
    </rPh>
    <phoneticPr fontId="2"/>
  </si>
  <si>
    <t>変更なし</t>
    <rPh sb="0" eb="2">
      <t>ヘンコウ</t>
    </rPh>
    <phoneticPr fontId="2"/>
  </si>
  <si>
    <t>企画・管理</t>
    <rPh sb="0" eb="2">
      <t>キカク</t>
    </rPh>
    <rPh sb="3" eb="5">
      <t>カンリ</t>
    </rPh>
    <phoneticPr fontId="2"/>
  </si>
  <si>
    <t>契約</t>
    <rPh sb="0" eb="2">
      <t>ケイヤク</t>
    </rPh>
    <phoneticPr fontId="2"/>
  </si>
  <si>
    <t>購買</t>
    <rPh sb="0" eb="2">
      <t>コウバイ</t>
    </rPh>
    <phoneticPr fontId="2"/>
  </si>
  <si>
    <t>部課長任免</t>
    <rPh sb="0" eb="3">
      <t>ブカチョウ</t>
    </rPh>
    <rPh sb="3" eb="5">
      <t>ニンメン</t>
    </rPh>
    <phoneticPr fontId="2"/>
  </si>
  <si>
    <t>その他</t>
    <rPh sb="2" eb="3">
      <t>タ</t>
    </rPh>
    <phoneticPr fontId="2"/>
  </si>
  <si>
    <t>（異動計画）事業場</t>
    <rPh sb="1" eb="3">
      <t>イドウ</t>
    </rPh>
    <rPh sb="3" eb="5">
      <t>ケイカク</t>
    </rPh>
    <rPh sb="6" eb="9">
      <t>ジギョウバ</t>
    </rPh>
    <phoneticPr fontId="2"/>
  </si>
  <si>
    <t>事業場(センター)外</t>
    <phoneticPr fontId="2"/>
  </si>
  <si>
    <t>カンパニー外</t>
    <rPh sb="5" eb="6">
      <t>ガイ</t>
    </rPh>
    <phoneticPr fontId="2"/>
  </si>
  <si>
    <t>（異動計画）拠点</t>
    <rPh sb="1" eb="3">
      <t>イドウ</t>
    </rPh>
    <rPh sb="3" eb="5">
      <t>ケイカク</t>
    </rPh>
    <rPh sb="6" eb="8">
      <t>キョテン</t>
    </rPh>
    <phoneticPr fontId="2"/>
  </si>
  <si>
    <t>同一県内</t>
    <rPh sb="0" eb="2">
      <t>ドウイツ</t>
    </rPh>
    <rPh sb="2" eb="4">
      <t>ケンナイ</t>
    </rPh>
    <phoneticPr fontId="2"/>
  </si>
  <si>
    <t>同一県外</t>
    <rPh sb="0" eb="2">
      <t>ドウイツ</t>
    </rPh>
    <rPh sb="2" eb="4">
      <t>ケンガイ</t>
    </rPh>
    <phoneticPr fontId="2"/>
  </si>
  <si>
    <t>海外赴任</t>
    <rPh sb="0" eb="4">
      <t>カイガイフニン</t>
    </rPh>
    <phoneticPr fontId="2"/>
  </si>
  <si>
    <t>海外帰任</t>
    <rPh sb="0" eb="2">
      <t>カイガイ</t>
    </rPh>
    <rPh sb="2" eb="4">
      <t>キニン</t>
    </rPh>
    <phoneticPr fontId="2"/>
  </si>
  <si>
    <t>（異動計画）後任要否</t>
    <rPh sb="1" eb="3">
      <t>イドウ</t>
    </rPh>
    <rPh sb="3" eb="5">
      <t>ケイカク</t>
    </rPh>
    <rPh sb="6" eb="8">
      <t>コウニン</t>
    </rPh>
    <rPh sb="8" eb="10">
      <t>ヨウヒ</t>
    </rPh>
    <phoneticPr fontId="2"/>
  </si>
  <si>
    <t>要</t>
    <rPh sb="0" eb="1">
      <t>ヨウ</t>
    </rPh>
    <phoneticPr fontId="2"/>
  </si>
  <si>
    <t>不要</t>
    <rPh sb="0" eb="2">
      <t>フヨウ</t>
    </rPh>
    <phoneticPr fontId="2"/>
  </si>
  <si>
    <t>エラー発生セル</t>
    <rPh sb="3" eb="5">
      <t>ハッッセイ</t>
    </rPh>
    <phoneticPr fontId="2"/>
  </si>
  <si>
    <t>下記のエラー箇所を修正し、再度エラーチェックを実施してください。</t>
    <rPh sb="0" eb="2">
      <t>カキ</t>
    </rPh>
    <rPh sb="6" eb="8">
      <t>カショ</t>
    </rPh>
    <rPh sb="9" eb="11">
      <t>シュウセイ</t>
    </rPh>
    <rPh sb="13" eb="15">
      <t>サイド</t>
    </rPh>
    <rPh sb="23" eb="25">
      <t>ジッシ</t>
    </rPh>
    <phoneticPr fontId="7"/>
  </si>
  <si>
    <t>GID</t>
    <phoneticPr fontId="2"/>
  </si>
  <si>
    <t>名前</t>
    <rPh sb="0" eb="2">
      <t>ナマエ</t>
    </rPh>
    <phoneticPr fontId="2"/>
  </si>
  <si>
    <t>エラー区分</t>
    <rPh sb="3" eb="5">
      <t>クブン</t>
    </rPh>
    <phoneticPr fontId="2"/>
  </si>
  <si>
    <t>2018年度</t>
    <rPh sb="4" eb="6">
      <t>ネンド</t>
    </rPh>
    <phoneticPr fontId="2"/>
  </si>
  <si>
    <t>2019年度</t>
    <rPh sb="4" eb="6">
      <t>ネンド</t>
    </rPh>
    <phoneticPr fontId="2"/>
  </si>
  <si>
    <t>2020年度</t>
    <rPh sb="4" eb="6">
      <t>ネンド</t>
    </rPh>
    <phoneticPr fontId="2"/>
  </si>
  <si>
    <t>2021年度</t>
    <rPh sb="4" eb="6">
      <t>ネンド</t>
    </rPh>
    <phoneticPr fontId="2"/>
  </si>
  <si>
    <t>2022年度</t>
    <rPh sb="4" eb="6">
      <t>ネンド</t>
    </rPh>
    <phoneticPr fontId="2"/>
  </si>
  <si>
    <t>未定</t>
    <rPh sb="0" eb="2">
      <t>ミテイ</t>
    </rPh>
    <phoneticPr fontId="2"/>
  </si>
  <si>
    <t>任意入力</t>
    <rPh sb="0" eb="2">
      <t>ニンイ</t>
    </rPh>
    <rPh sb="2" eb="4">
      <t>ニュウリョク</t>
    </rPh>
    <phoneticPr fontId="2"/>
  </si>
  <si>
    <t>必須入力</t>
    <rPh sb="0" eb="4">
      <t>ヒッスニュウリョク</t>
    </rPh>
    <phoneticPr fontId="2"/>
  </si>
  <si>
    <t>凡例</t>
    <rPh sb="0" eb="2">
      <t>ハンレイ</t>
    </rPh>
    <phoneticPr fontId="2"/>
  </si>
  <si>
    <t>アップロード可</t>
    <phoneticPr fontId="7"/>
  </si>
  <si>
    <t>$START</t>
    <phoneticPr fontId="2"/>
  </si>
  <si>
    <t>-</t>
    <phoneticPr fontId="2"/>
  </si>
  <si>
    <t>-</t>
    <phoneticPr fontId="2"/>
  </si>
  <si>
    <t>・左側のメニューから[マクロの設定]を選択し、マクロの設定のラジオボタンを[警告を表示してすべてのマクロを無効にする(D)]に設定変更する。</t>
    <rPh sb="1" eb="3">
      <t>ヒダリガワ</t>
    </rPh>
    <rPh sb="15" eb="17">
      <t>セッテイ</t>
    </rPh>
    <rPh sb="19" eb="21">
      <t>センタク</t>
    </rPh>
    <rPh sb="27" eb="29">
      <t>セッテイ</t>
    </rPh>
    <rPh sb="38" eb="40">
      <t>ケイコク</t>
    </rPh>
    <rPh sb="41" eb="43">
      <t>ヒョウジ</t>
    </rPh>
    <rPh sb="53" eb="55">
      <t>ムコウ</t>
    </rPh>
    <rPh sb="63" eb="67">
      <t>セッテイヘンコウ</t>
    </rPh>
    <phoneticPr fontId="16"/>
  </si>
  <si>
    <t>入力不可</t>
    <rPh sb="0" eb="2">
      <t>ニュウリョク</t>
    </rPh>
    <rPh sb="2" eb="4">
      <t>フカ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</si>
</sst>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2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name val="ＭＳ ゴシック"/>
      <family val="3"/>
      <charset val="128"/>
    </font>
    <font>
      <sz val="9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0"/>
      <color theme="1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6"/>
      <name val="ＭＳ Ｐゴシック"/>
      <family val="2"/>
      <charset val="128"/>
    </font>
    <font>
      <b/>
      <sz val="10"/>
      <color rgb="FFFF000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2"/>
      <color theme="4" tint="-0.249977111117893"/>
      <name val="Meiryo UI"/>
      <family val="3"/>
      <charset val="128"/>
    </font>
    <font>
      <b/>
      <u/>
      <sz val="10"/>
      <color theme="1"/>
      <name val="Meiryo UI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9"/>
      <name val="ＭＳ ゴシック"/>
      <family val="3"/>
      <charset val="128"/>
    </font>
    <font>
      <b/>
      <u/>
      <sz val="16"/>
      <color theme="0"/>
      <name val="ＭＳ ゴシック"/>
      <family val="3"/>
      <charset val="128"/>
    </font>
    <font>
      <b/>
      <sz val="16"/>
      <color theme="0"/>
      <name val="ＭＳ ゴシック"/>
      <family val="3"/>
      <charset val="128"/>
    </font>
    <font>
      <b/>
      <sz val="10"/>
      <color theme="0"/>
      <name val="ＭＳ ゴシック"/>
      <family val="3"/>
      <charset val="128"/>
    </font>
    <font>
      <sz val="9"/>
      <color rgb="FFFF0000"/>
      <name val="ＭＳ ゴシック"/>
      <family val="3"/>
      <charset val="128"/>
    </font>
    <font>
      <sz val="10"/>
      <color rgb="FF000000"/>
      <name val="Meiryo UI"/>
      <family val="3"/>
      <charset val="128"/>
    </font>
    <font>
      <b/>
      <u/>
      <sz val="10"/>
      <name val="Meiryo UI"/>
      <family val="3"/>
      <charset val="128"/>
    </font>
    <font>
      <sz val="10"/>
      <name val="Meiryo UI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C0C0C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 style="hair">
        <color rgb="FF000000" tint="-0.14993743705557422"/>
      </right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 tint="-0.14993743705557422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 tint="-0.14993743705557422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21" fillId="0" borderId="0">
      <alignment vertical="center"/>
    </xf>
  </cellStyleXfs>
  <cellXfs count="123">
    <xf numFmtId="0" fontId="0" fillId="0" borderId="0" xfId="0">
      <alignment vertical="center"/>
    </xf>
    <xf numFmtId="0" fontId="14" fillId="8" borderId="0" xfId="4" applyFont="1" applyFill="1">
      <alignment vertical="center"/>
    </xf>
    <xf numFmtId="0" fontId="14" fillId="0" borderId="0" xfId="4" applyFont="1">
      <alignment vertical="center"/>
    </xf>
    <xf numFmtId="0" fontId="17" fillId="8" borderId="0" xfId="4" applyFont="1" applyFill="1" applyAlignment="1">
      <alignment vertical="center"/>
    </xf>
    <xf numFmtId="0" fontId="18" fillId="8" borderId="0" xfId="4" applyFont="1" applyFill="1">
      <alignment vertical="center"/>
    </xf>
    <xf numFmtId="0" fontId="18" fillId="0" borderId="0" xfId="4" applyFont="1">
      <alignment vertical="center"/>
    </xf>
    <xf numFmtId="0" fontId="14" fillId="9" borderId="15" xfId="4" applyFont="1" applyFill="1" applyBorder="1">
      <alignment vertical="center"/>
    </xf>
    <xf numFmtId="0" fontId="14" fillId="9" borderId="16" xfId="4" applyFont="1" applyFill="1" applyBorder="1">
      <alignment vertical="center"/>
    </xf>
    <xf numFmtId="0" fontId="14" fillId="9" borderId="17" xfId="4" applyFont="1" applyFill="1" applyBorder="1">
      <alignment vertical="center"/>
    </xf>
    <xf numFmtId="0" fontId="14" fillId="9" borderId="18" xfId="4" applyFont="1" applyFill="1" applyBorder="1">
      <alignment vertical="center"/>
    </xf>
    <xf numFmtId="0" fontId="14" fillId="9" borderId="0" xfId="4" applyFont="1" applyFill="1" applyBorder="1">
      <alignment vertical="center"/>
    </xf>
    <xf numFmtId="0" fontId="14" fillId="9" borderId="19" xfId="4" applyFont="1" applyFill="1" applyBorder="1">
      <alignment vertical="center"/>
    </xf>
    <xf numFmtId="0" fontId="14" fillId="9" borderId="20" xfId="4" applyFont="1" applyFill="1" applyBorder="1">
      <alignment vertical="center"/>
    </xf>
    <xf numFmtId="0" fontId="14" fillId="9" borderId="14" xfId="4" applyFont="1" applyFill="1" applyBorder="1">
      <alignment vertical="center"/>
    </xf>
    <xf numFmtId="0" fontId="14" fillId="9" borderId="21" xfId="4" applyFont="1" applyFill="1" applyBorder="1">
      <alignment vertical="center"/>
    </xf>
    <xf numFmtId="0" fontId="14" fillId="0" borderId="0" xfId="0" applyFont="1">
      <alignment vertical="center"/>
    </xf>
    <xf numFmtId="0" fontId="20" fillId="0" borderId="0" xfId="0" applyFont="1">
      <alignment vertical="center"/>
    </xf>
    <xf numFmtId="0" fontId="14" fillId="0" borderId="0" xfId="0" quotePrefix="1" applyFont="1">
      <alignment vertical="center"/>
    </xf>
    <xf numFmtId="0" fontId="28" fillId="0" borderId="0" xfId="0" applyFont="1" applyFill="1">
      <alignment vertical="center"/>
    </xf>
    <xf numFmtId="0" fontId="29" fillId="0" borderId="0" xfId="0" applyFont="1" applyFill="1">
      <alignment vertical="center"/>
    </xf>
    <xf numFmtId="0" fontId="14" fillId="10" borderId="22" xfId="0" applyFont="1" applyFill="1" applyBorder="1" applyAlignment="1">
      <alignment horizontal="center" vertical="center"/>
    </xf>
    <xf numFmtId="0" fontId="14" fillId="0" borderId="23" xfId="0" applyFont="1" applyBorder="1">
      <alignment vertical="center"/>
    </xf>
    <xf numFmtId="49" fontId="4" fillId="0" borderId="24" xfId="2" applyNumberFormat="1" applyFill="1" applyBorder="1" applyProtection="1">
      <alignment vertical="center"/>
    </xf>
    <xf numFmtId="49" fontId="4" fillId="0" borderId="27" xfId="2" applyNumberFormat="1" applyFill="1" applyBorder="1" applyProtection="1">
      <alignment vertical="center"/>
    </xf>
    <xf numFmtId="49" fontId="4" fillId="0" borderId="25" xfId="2" applyNumberFormat="1" applyFill="1" applyBorder="1" applyProtection="1">
      <alignment vertical="center"/>
    </xf>
    <xf numFmtId="49" fontId="4" fillId="0" borderId="29" xfId="2" applyNumberFormat="1" applyFill="1" applyBorder="1" applyProtection="1">
      <alignment vertical="center"/>
    </xf>
    <xf numFmtId="49" fontId="4" fillId="0" borderId="26" xfId="2" applyNumberFormat="1" applyFont="1" applyFill="1" applyBorder="1" applyProtection="1">
      <alignment vertical="center"/>
    </xf>
    <xf numFmtId="49" fontId="4" fillId="0" borderId="27" xfId="2" applyNumberFormat="1" applyFont="1" applyFill="1" applyBorder="1" applyProtection="1">
      <alignment vertical="center"/>
    </xf>
    <xf numFmtId="49" fontId="4" fillId="0" borderId="25" xfId="2" applyNumberFormat="1" applyFont="1" applyFill="1" applyBorder="1" applyProtection="1">
      <alignment vertical="center"/>
    </xf>
    <xf numFmtId="49" fontId="4" fillId="0" borderId="29" xfId="2" applyNumberFormat="1" applyFont="1" applyFill="1" applyBorder="1" applyProtection="1">
      <alignment vertical="center"/>
    </xf>
    <xf numFmtId="49" fontId="4" fillId="0" borderId="30" xfId="2" applyNumberFormat="1" applyFont="1" applyFill="1" applyBorder="1" applyProtection="1">
      <alignment vertical="center"/>
    </xf>
    <xf numFmtId="49" fontId="4" fillId="0" borderId="28" xfId="2" applyNumberFormat="1" applyFont="1" applyFill="1" applyBorder="1" applyProtection="1">
      <alignment vertical="center"/>
    </xf>
    <xf numFmtId="49" fontId="4" fillId="0" borderId="24" xfId="2" applyNumberFormat="1" applyFont="1" applyFill="1" applyBorder="1" applyAlignment="1" applyProtection="1">
      <alignment horizontal="center" vertical="center"/>
    </xf>
    <xf numFmtId="49" fontId="4" fillId="0" borderId="24" xfId="2" applyNumberFormat="1" applyFont="1" applyFill="1" applyBorder="1" applyProtection="1">
      <alignment vertical="center"/>
    </xf>
    <xf numFmtId="49" fontId="6" fillId="0" borderId="0" xfId="2" applyNumberFormat="1" applyFont="1" applyProtection="1">
      <alignment vertical="center"/>
    </xf>
    <xf numFmtId="49" fontId="4" fillId="0" borderId="0" xfId="2" applyNumberFormat="1" applyProtection="1">
      <alignment vertical="center"/>
    </xf>
    <xf numFmtId="49" fontId="22" fillId="0" borderId="0" xfId="5" applyNumberFormat="1" applyFont="1" applyFill="1" applyBorder="1" applyAlignment="1" applyProtection="1">
      <alignment vertical="center"/>
    </xf>
    <xf numFmtId="49" fontId="4" fillId="0" borderId="0" xfId="2" applyNumberFormat="1" applyFont="1" applyProtection="1">
      <alignment vertical="center"/>
    </xf>
    <xf numFmtId="49" fontId="4" fillId="0" borderId="0" xfId="2" applyNumberFormat="1" applyFont="1" applyAlignment="1" applyProtection="1">
      <alignment horizontal="center" vertical="center"/>
    </xf>
    <xf numFmtId="49" fontId="4" fillId="8" borderId="0" xfId="2" applyNumberFormat="1" applyFont="1" applyFill="1" applyBorder="1" applyProtection="1">
      <alignment vertical="center"/>
    </xf>
    <xf numFmtId="49" fontId="4" fillId="2" borderId="3" xfId="2" applyNumberFormat="1" applyFill="1" applyBorder="1" applyAlignment="1" applyProtection="1">
      <alignment vertical="center"/>
    </xf>
    <xf numFmtId="49" fontId="4" fillId="2" borderId="4" xfId="2" applyNumberFormat="1" applyFill="1" applyBorder="1" applyAlignment="1" applyProtection="1">
      <alignment vertical="center"/>
    </xf>
    <xf numFmtId="49" fontId="9" fillId="2" borderId="3" xfId="2" applyNumberFormat="1" applyFont="1" applyFill="1" applyBorder="1" applyAlignment="1" applyProtection="1">
      <alignment vertical="center"/>
    </xf>
    <xf numFmtId="49" fontId="4" fillId="2" borderId="2" xfId="2" applyNumberFormat="1" applyFill="1" applyBorder="1" applyAlignment="1" applyProtection="1">
      <alignment vertical="center"/>
    </xf>
    <xf numFmtId="49" fontId="8" fillId="2" borderId="1" xfId="2" applyNumberFormat="1" applyFont="1" applyFill="1" applyBorder="1" applyAlignment="1" applyProtection="1">
      <alignment horizontal="left" vertical="center"/>
    </xf>
    <xf numFmtId="49" fontId="4" fillId="14" borderId="0" xfId="2" applyNumberFormat="1" applyFont="1" applyFill="1" applyBorder="1" applyProtection="1">
      <alignment vertical="center"/>
    </xf>
    <xf numFmtId="49" fontId="4" fillId="3" borderId="5" xfId="2" applyNumberFormat="1" applyFill="1" applyBorder="1" applyAlignment="1" applyProtection="1">
      <alignment vertical="top" wrapText="1"/>
    </xf>
    <xf numFmtId="49" fontId="4" fillId="3" borderId="6" xfId="2" applyNumberFormat="1" applyFill="1" applyBorder="1" applyAlignment="1" applyProtection="1">
      <alignment vertical="top" wrapText="1"/>
    </xf>
    <xf numFmtId="49" fontId="4" fillId="3" borderId="5" xfId="2" applyNumberFormat="1" applyFill="1" applyBorder="1" applyAlignment="1" applyProtection="1">
      <alignment vertical="top"/>
    </xf>
    <xf numFmtId="49" fontId="4" fillId="3" borderId="7" xfId="2" applyNumberFormat="1" applyFill="1" applyBorder="1" applyAlignment="1" applyProtection="1">
      <alignment vertical="top"/>
    </xf>
    <xf numFmtId="49" fontId="4" fillId="3" borderId="3" xfId="2" applyNumberFormat="1" applyFill="1" applyBorder="1" applyAlignment="1" applyProtection="1">
      <alignment vertical="center"/>
    </xf>
    <xf numFmtId="49" fontId="4" fillId="3" borderId="2" xfId="2" applyNumberFormat="1" applyFill="1" applyBorder="1" applyAlignment="1" applyProtection="1">
      <alignment vertical="center"/>
    </xf>
    <xf numFmtId="49" fontId="4" fillId="0" borderId="0" xfId="2" applyNumberFormat="1" applyFont="1" applyBorder="1" applyProtection="1">
      <alignment vertical="center"/>
    </xf>
    <xf numFmtId="49" fontId="4" fillId="15" borderId="0" xfId="2" applyNumberFormat="1" applyFont="1" applyFill="1" applyBorder="1" applyProtection="1">
      <alignment vertical="center"/>
    </xf>
    <xf numFmtId="49" fontId="9" fillId="3" borderId="8" xfId="2" applyNumberFormat="1" applyFont="1" applyFill="1" applyBorder="1" applyAlignment="1" applyProtection="1">
      <alignment vertical="top"/>
    </xf>
    <xf numFmtId="49" fontId="8" fillId="3" borderId="0" xfId="2" applyNumberFormat="1" applyFont="1" applyFill="1" applyBorder="1" applyAlignment="1" applyProtection="1">
      <alignment vertical="top" wrapText="1"/>
    </xf>
    <xf numFmtId="49" fontId="8" fillId="3" borderId="9" xfId="2" applyNumberFormat="1" applyFont="1" applyFill="1" applyBorder="1" applyAlignment="1" applyProtection="1">
      <alignment vertical="top"/>
    </xf>
    <xf numFmtId="49" fontId="8" fillId="3" borderId="10" xfId="2" applyNumberFormat="1" applyFont="1" applyFill="1" applyBorder="1" applyAlignment="1" applyProtection="1">
      <alignment vertical="top"/>
    </xf>
    <xf numFmtId="49" fontId="8" fillId="3" borderId="3" xfId="2" applyNumberFormat="1" applyFont="1" applyFill="1" applyBorder="1" applyAlignment="1" applyProtection="1">
      <alignment vertical="center"/>
    </xf>
    <xf numFmtId="49" fontId="8" fillId="3" borderId="2" xfId="2" applyNumberFormat="1" applyFont="1" applyFill="1" applyBorder="1" applyAlignment="1" applyProtection="1">
      <alignment vertical="center"/>
    </xf>
    <xf numFmtId="49" fontId="8" fillId="3" borderId="8" xfId="2" applyNumberFormat="1" applyFont="1" applyFill="1" applyBorder="1" applyAlignment="1" applyProtection="1">
      <alignment vertical="top" wrapText="1"/>
    </xf>
    <xf numFmtId="49" fontId="8" fillId="3" borderId="5" xfId="2" applyNumberFormat="1" applyFont="1" applyFill="1" applyBorder="1" applyAlignment="1" applyProtection="1">
      <alignment vertical="top"/>
    </xf>
    <xf numFmtId="49" fontId="8" fillId="3" borderId="7" xfId="2" applyNumberFormat="1" applyFont="1" applyFill="1" applyBorder="1" applyAlignment="1" applyProtection="1">
      <alignment vertical="top"/>
    </xf>
    <xf numFmtId="49" fontId="8" fillId="3" borderId="9" xfId="2" applyNumberFormat="1" applyFont="1" applyFill="1" applyBorder="1" applyAlignment="1" applyProtection="1">
      <alignment vertical="top" wrapText="1"/>
    </xf>
    <xf numFmtId="49" fontId="8" fillId="3" borderId="11" xfId="2" applyNumberFormat="1" applyFont="1" applyFill="1" applyBorder="1" applyAlignment="1" applyProtection="1">
      <alignment vertical="top" wrapText="1"/>
    </xf>
    <xf numFmtId="49" fontId="8" fillId="3" borderId="4" xfId="2" applyNumberFormat="1" applyFont="1" applyFill="1" applyBorder="1" applyAlignment="1" applyProtection="1">
      <alignment vertical="center"/>
    </xf>
    <xf numFmtId="49" fontId="26" fillId="3" borderId="4" xfId="2" applyNumberFormat="1" applyFont="1" applyFill="1" applyBorder="1" applyAlignment="1" applyProtection="1">
      <alignment vertical="center"/>
    </xf>
    <xf numFmtId="49" fontId="26" fillId="3" borderId="2" xfId="2" applyNumberFormat="1" applyFont="1" applyFill="1" applyBorder="1" applyAlignment="1" applyProtection="1">
      <alignment vertical="center"/>
    </xf>
    <xf numFmtId="49" fontId="10" fillId="0" borderId="0" xfId="2" applyNumberFormat="1" applyFont="1" applyProtection="1">
      <alignment vertical="center"/>
    </xf>
    <xf numFmtId="49" fontId="10" fillId="0" borderId="0" xfId="2" applyNumberFormat="1" applyFont="1" applyAlignment="1" applyProtection="1">
      <alignment horizontal="left" vertical="center"/>
    </xf>
    <xf numFmtId="49" fontId="8" fillId="0" borderId="0" xfId="2" applyNumberFormat="1" applyFont="1" applyProtection="1">
      <alignment vertical="center"/>
    </xf>
    <xf numFmtId="49" fontId="8" fillId="7" borderId="1" xfId="2" applyNumberFormat="1" applyFont="1" applyFill="1" applyBorder="1" applyAlignment="1" applyProtection="1">
      <alignment horizontal="center" vertical="center" wrapText="1"/>
    </xf>
    <xf numFmtId="49" fontId="8" fillId="7" borderId="1" xfId="2" applyNumberFormat="1" applyFont="1" applyFill="1" applyBorder="1" applyAlignment="1" applyProtection="1">
      <alignment horizontal="center" vertical="center"/>
    </xf>
    <xf numFmtId="49" fontId="13" fillId="5" borderId="1" xfId="2" applyNumberFormat="1" applyFont="1" applyFill="1" applyBorder="1" applyAlignment="1" applyProtection="1">
      <alignment horizontal="center" vertical="center" wrapText="1"/>
    </xf>
    <xf numFmtId="49" fontId="13" fillId="5" borderId="1" xfId="2" applyNumberFormat="1" applyFont="1" applyFill="1" applyBorder="1" applyAlignment="1" applyProtection="1">
      <alignment horizontal="center" vertical="center"/>
    </xf>
    <xf numFmtId="49" fontId="12" fillId="5" borderId="1" xfId="2" applyNumberFormat="1" applyFont="1" applyFill="1" applyBorder="1" applyAlignment="1" applyProtection="1">
      <alignment horizontal="center" vertical="center" wrapText="1"/>
    </xf>
    <xf numFmtId="49" fontId="12" fillId="5" borderId="1" xfId="2" applyNumberFormat="1" applyFont="1" applyFill="1" applyBorder="1" applyAlignment="1" applyProtection="1">
      <alignment horizontal="center" vertical="center"/>
    </xf>
    <xf numFmtId="49" fontId="13" fillId="12" borderId="1" xfId="2" applyNumberFormat="1" applyFont="1" applyFill="1" applyBorder="1" applyAlignment="1" applyProtection="1">
      <alignment horizontal="center" vertical="center" wrapText="1"/>
    </xf>
    <xf numFmtId="49" fontId="13" fillId="3" borderId="1" xfId="2" applyNumberFormat="1" applyFont="1" applyFill="1" applyBorder="1" applyAlignment="1" applyProtection="1">
      <alignment horizontal="center" vertical="center" wrapText="1"/>
    </xf>
    <xf numFmtId="49" fontId="13" fillId="6" borderId="2" xfId="2" applyNumberFormat="1" applyFont="1" applyFill="1" applyBorder="1" applyAlignment="1" applyProtection="1">
      <alignment horizontal="center" vertical="center" wrapText="1"/>
    </xf>
    <xf numFmtId="49" fontId="13" fillId="6" borderId="1" xfId="2" applyNumberFormat="1" applyFont="1" applyFill="1" applyBorder="1" applyAlignment="1" applyProtection="1">
      <alignment horizontal="center" vertical="center" wrapText="1"/>
    </xf>
    <xf numFmtId="49" fontId="13" fillId="6" borderId="1" xfId="2" applyNumberFormat="1" applyFont="1" applyFill="1" applyBorder="1" applyAlignment="1" applyProtection="1">
      <alignment horizontal="center" vertical="center"/>
    </xf>
    <xf numFmtId="49" fontId="8" fillId="0" borderId="0" xfId="2" applyNumberFormat="1" applyFont="1" applyFill="1" applyProtection="1">
      <alignment vertical="center"/>
    </xf>
    <xf numFmtId="49" fontId="13" fillId="0" borderId="12" xfId="2" applyNumberFormat="1" applyFont="1" applyFill="1" applyBorder="1" applyAlignment="1" applyProtection="1">
      <alignment horizontal="center" vertical="center" wrapText="1"/>
    </xf>
    <xf numFmtId="49" fontId="4" fillId="0" borderId="28" xfId="2" applyNumberFormat="1" applyFill="1" applyBorder="1" applyProtection="1">
      <alignment vertical="center"/>
    </xf>
    <xf numFmtId="0" fontId="4" fillId="0" borderId="1" xfId="2" applyNumberFormat="1" applyBorder="1" applyAlignment="1" applyProtection="1">
      <alignment vertical="center"/>
    </xf>
    <xf numFmtId="0" fontId="8" fillId="0" borderId="1" xfId="2" applyNumberFormat="1" applyFont="1" applyBorder="1" applyAlignment="1" applyProtection="1">
      <alignment vertical="center"/>
    </xf>
    <xf numFmtId="0" fontId="15" fillId="8" borderId="0" xfId="4" applyFont="1" applyFill="1" applyAlignment="1">
      <alignment horizontal="center" vertical="center"/>
    </xf>
    <xf numFmtId="0" fontId="19" fillId="8" borderId="14" xfId="4" applyFont="1" applyFill="1" applyBorder="1" applyAlignment="1">
      <alignment horizontal="center" vertical="center"/>
    </xf>
    <xf numFmtId="49" fontId="10" fillId="13" borderId="1" xfId="2" applyNumberFormat="1" applyFont="1" applyFill="1" applyBorder="1" applyAlignment="1" applyProtection="1">
      <alignment horizontal="center" vertical="center"/>
    </xf>
    <xf numFmtId="49" fontId="13" fillId="3" borderId="12" xfId="2" applyNumberFormat="1" applyFont="1" applyFill="1" applyBorder="1" applyAlignment="1" applyProtection="1">
      <alignment horizontal="center" vertical="center" wrapText="1"/>
    </xf>
    <xf numFmtId="49" fontId="13" fillId="3" borderId="13" xfId="2" applyNumberFormat="1" applyFont="1" applyFill="1" applyBorder="1" applyAlignment="1" applyProtection="1">
      <alignment horizontal="center" vertical="center" wrapText="1"/>
    </xf>
    <xf numFmtId="49" fontId="8" fillId="0" borderId="5" xfId="2" applyNumberFormat="1" applyFont="1" applyFill="1" applyBorder="1" applyAlignment="1" applyProtection="1">
      <alignment horizontal="center" vertical="center" wrapText="1"/>
    </xf>
    <xf numFmtId="49" fontId="8" fillId="0" borderId="6" xfId="2" applyNumberFormat="1" applyFont="1" applyFill="1" applyBorder="1" applyAlignment="1" applyProtection="1">
      <alignment horizontal="center" vertical="center" wrapText="1"/>
    </xf>
    <xf numFmtId="49" fontId="8" fillId="0" borderId="7" xfId="2" applyNumberFormat="1" applyFont="1" applyFill="1" applyBorder="1" applyAlignment="1" applyProtection="1">
      <alignment horizontal="center" vertical="center" wrapText="1"/>
    </xf>
    <xf numFmtId="49" fontId="13" fillId="0" borderId="5" xfId="2" applyNumberFormat="1" applyFont="1" applyFill="1" applyBorder="1" applyAlignment="1" applyProtection="1">
      <alignment horizontal="center" vertical="center" wrapText="1"/>
    </xf>
    <xf numFmtId="49" fontId="13" fillId="0" borderId="6" xfId="2" applyNumberFormat="1" applyFont="1" applyFill="1" applyBorder="1" applyAlignment="1" applyProtection="1">
      <alignment horizontal="center" vertical="center" wrapText="1"/>
    </xf>
    <xf numFmtId="49" fontId="13" fillId="0" borderId="7" xfId="2" applyNumberFormat="1" applyFont="1" applyFill="1" applyBorder="1" applyAlignment="1" applyProtection="1">
      <alignment horizontal="center" vertical="center" wrapText="1"/>
    </xf>
    <xf numFmtId="49" fontId="13" fillId="0" borderId="6" xfId="2" applyNumberFormat="1" applyFont="1" applyFill="1" applyBorder="1" applyAlignment="1" applyProtection="1">
      <alignment horizontal="center" vertical="center"/>
    </xf>
    <xf numFmtId="49" fontId="13" fillId="0" borderId="7" xfId="2" applyNumberFormat="1" applyFont="1" applyFill="1" applyBorder="1" applyAlignment="1" applyProtection="1">
      <alignment horizontal="center" vertical="center"/>
    </xf>
    <xf numFmtId="49" fontId="13" fillId="6" borderId="3" xfId="2" applyNumberFormat="1" applyFont="1" applyFill="1" applyBorder="1" applyAlignment="1" applyProtection="1">
      <alignment horizontal="center" vertical="center"/>
    </xf>
    <xf numFmtId="49" fontId="13" fillId="6" borderId="4" xfId="2" applyNumberFormat="1" applyFont="1" applyFill="1" applyBorder="1" applyAlignment="1" applyProtection="1">
      <alignment horizontal="center" vertical="center"/>
    </xf>
    <xf numFmtId="49" fontId="13" fillId="6" borderId="2" xfId="2" applyNumberFormat="1" applyFont="1" applyFill="1" applyBorder="1" applyAlignment="1" applyProtection="1">
      <alignment horizontal="center" vertical="center"/>
    </xf>
    <xf numFmtId="49" fontId="13" fillId="6" borderId="1" xfId="2" applyNumberFormat="1" applyFont="1" applyFill="1" applyBorder="1" applyAlignment="1" applyProtection="1">
      <alignment horizontal="center" vertical="center"/>
    </xf>
    <xf numFmtId="49" fontId="13" fillId="5" borderId="5" xfId="2" applyNumberFormat="1" applyFont="1" applyFill="1" applyBorder="1" applyAlignment="1" applyProtection="1">
      <alignment horizontal="center" vertical="center" wrapText="1"/>
    </xf>
    <xf numFmtId="49" fontId="13" fillId="5" borderId="6" xfId="2" applyNumberFormat="1" applyFont="1" applyFill="1" applyBorder="1" applyAlignment="1" applyProtection="1">
      <alignment horizontal="center" vertical="center" wrapText="1"/>
    </xf>
    <xf numFmtId="49" fontId="13" fillId="5" borderId="7" xfId="2" applyNumberFormat="1" applyFont="1" applyFill="1" applyBorder="1" applyAlignment="1" applyProtection="1">
      <alignment horizontal="center" vertical="center" wrapText="1"/>
    </xf>
    <xf numFmtId="49" fontId="13" fillId="5" borderId="1" xfId="2" applyNumberFormat="1" applyFont="1" applyFill="1" applyBorder="1" applyAlignment="1" applyProtection="1">
      <alignment horizontal="center" vertical="center"/>
    </xf>
    <xf numFmtId="49" fontId="13" fillId="12" borderId="1" xfId="2" applyNumberFormat="1" applyFont="1" applyFill="1" applyBorder="1" applyAlignment="1" applyProtection="1">
      <alignment horizontal="center" vertical="center"/>
    </xf>
    <xf numFmtId="49" fontId="13" fillId="3" borderId="1" xfId="2" applyNumberFormat="1" applyFont="1" applyFill="1" applyBorder="1" applyAlignment="1" applyProtection="1">
      <alignment horizontal="center" vertical="center"/>
    </xf>
    <xf numFmtId="49" fontId="23" fillId="11" borderId="0" xfId="2" applyNumberFormat="1" applyFont="1" applyFill="1" applyAlignment="1" applyProtection="1">
      <alignment horizontal="center" wrapText="1"/>
    </xf>
    <xf numFmtId="49" fontId="24" fillId="11" borderId="0" xfId="2" applyNumberFormat="1" applyFont="1" applyFill="1" applyAlignment="1" applyProtection="1">
      <alignment horizontal="center" wrapText="1"/>
    </xf>
    <xf numFmtId="49" fontId="25" fillId="11" borderId="0" xfId="2" applyNumberFormat="1" applyFont="1" applyFill="1" applyAlignment="1" applyProtection="1">
      <alignment horizontal="center" vertical="center"/>
    </xf>
    <xf numFmtId="49" fontId="8" fillId="3" borderId="3" xfId="2" applyNumberFormat="1" applyFont="1" applyFill="1" applyBorder="1" applyAlignment="1" applyProtection="1">
      <alignment horizontal="center" vertical="center"/>
    </xf>
    <xf numFmtId="49" fontId="8" fillId="3" borderId="4" xfId="2" applyNumberFormat="1" applyFont="1" applyFill="1" applyBorder="1" applyAlignment="1" applyProtection="1">
      <alignment horizontal="center" vertical="center"/>
    </xf>
    <xf numFmtId="49" fontId="8" fillId="3" borderId="2" xfId="2" applyNumberFormat="1" applyFont="1" applyFill="1" applyBorder="1" applyAlignment="1" applyProtection="1">
      <alignment horizontal="center" vertical="center"/>
    </xf>
    <xf numFmtId="49" fontId="13" fillId="4" borderId="12" xfId="2" applyNumberFormat="1" applyFont="1" applyFill="1" applyBorder="1" applyAlignment="1" applyProtection="1">
      <alignment horizontal="center" vertical="center" wrapText="1"/>
    </xf>
    <xf numFmtId="49" fontId="13" fillId="4" borderId="13" xfId="2" applyNumberFormat="1" applyFont="1" applyFill="1" applyBorder="1" applyAlignment="1" applyProtection="1">
      <alignment horizontal="center" vertical="center" wrapText="1"/>
    </xf>
    <xf numFmtId="49" fontId="8" fillId="4" borderId="3" xfId="2" applyNumberFormat="1" applyFont="1" applyFill="1" applyBorder="1" applyAlignment="1" applyProtection="1">
      <alignment horizontal="center" vertical="center"/>
    </xf>
    <xf numFmtId="49" fontId="8" fillId="4" borderId="4" xfId="2" applyNumberFormat="1" applyFont="1" applyFill="1" applyBorder="1" applyAlignment="1" applyProtection="1">
      <alignment horizontal="center" vertical="center"/>
    </xf>
    <xf numFmtId="49" fontId="8" fillId="4" borderId="2" xfId="2" applyNumberFormat="1" applyFont="1" applyFill="1" applyBorder="1" applyAlignment="1" applyProtection="1">
      <alignment horizontal="center" vertical="center"/>
    </xf>
    <xf numFmtId="49" fontId="12" fillId="5" borderId="12" xfId="2" applyNumberFormat="1" applyFont="1" applyFill="1" applyBorder="1" applyAlignment="1" applyProtection="1">
      <alignment horizontal="center" vertical="center" wrapText="1"/>
    </xf>
    <xf numFmtId="49" fontId="12" fillId="5" borderId="13" xfId="2" applyNumberFormat="1" applyFont="1" applyFill="1" applyBorder="1" applyAlignment="1" applyProtection="1">
      <alignment horizontal="center" vertical="center" wrapText="1"/>
    </xf>
  </cellXfs>
  <cellStyles count="6">
    <cellStyle name="標準" xfId="0" builtinId="0"/>
    <cellStyle name="標準 2" xfId="1" xr:uid="{00000000-0005-0000-0000-000001000000}"/>
    <cellStyle name="標準 3" xfId="2" xr:uid="{00000000-0005-0000-0000-000002000000}"/>
    <cellStyle name="標準 3 2" xfId="5" xr:uid="{8553DAB9-3BF2-4223-9800-703A8A0C3D98}"/>
    <cellStyle name="標準 4" xfId="4" xr:uid="{DF0C5FD4-75E3-4A10-AB21-AD1AFA25F196}"/>
    <cellStyle name="標準 5" xfId="3" xr:uid="{00000000-0005-0000-0000-000003000000}"/>
  </cellStyles>
  <dxfs count="0"/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17367</xdr:colOff>
      <xdr:row>1</xdr:row>
      <xdr:rowOff>47625</xdr:rowOff>
    </xdr:from>
    <xdr:to>
      <xdr:col>15</xdr:col>
      <xdr:colOff>449356</xdr:colOff>
      <xdr:row>2</xdr:row>
      <xdr:rowOff>11206</xdr:rowOff>
    </xdr:to>
    <xdr:sp macro="" textlink="">
      <xdr:nvSpPr>
        <xdr:cNvPr id="2" name="Rectangle 17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9790017" y="190500"/>
          <a:ext cx="1127314" cy="268381"/>
        </a:xfrm>
        <a:prstGeom prst="rect">
          <a:avLst/>
        </a:prstGeom>
        <a:solidFill>
          <a:sysClr val="window" lastClr="FFFFFF"/>
        </a:solidFill>
        <a:ln w="15875">
          <a:solidFill>
            <a:srgbClr val="FF0000"/>
          </a:solidFill>
          <a:miter lim="800000"/>
          <a:headEnd/>
          <a:tailEnd/>
        </a:ln>
        <a:extLst/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FF0000"/>
              </a:solidFill>
              <a:latin typeface="Arial"/>
              <a:cs typeface="Arial"/>
            </a:rPr>
            <a:t>Confidential</a:t>
          </a:r>
        </a:p>
      </xdr:txBody>
    </xdr:sp>
    <xdr:clientData/>
  </xdr:twoCellAnchor>
  <xdr:twoCellAnchor>
    <xdr:from>
      <xdr:col>5</xdr:col>
      <xdr:colOff>161925</xdr:colOff>
      <xdr:row>1</xdr:row>
      <xdr:rowOff>0</xdr:rowOff>
    </xdr:from>
    <xdr:to>
      <xdr:col>13</xdr:col>
      <xdr:colOff>161925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981325" y="142875"/>
          <a:ext cx="5905500" cy="1638300"/>
        </a:xfrm>
        <a:prstGeom prst="rect">
          <a:avLst/>
        </a:prstGeom>
        <a:solidFill>
          <a:schemeClr val="bg1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■</a:t>
          </a:r>
          <a:r>
            <a:rPr kumimoji="1" lang="ja-JP" altLang="ja-JP" sz="1000" b="1" u="sng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本ファイルについて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複数人の人材育成計画について、本ファイルに入力し</a:t>
          </a:r>
          <a:r>
            <a:rPr kumimoji="1" lang="en-US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P's</a:t>
          </a:r>
          <a:r>
            <a:rPr kumimoji="1" lang="en-US" altLang="ja-JP" sz="10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Roll</a:t>
          </a:r>
          <a:r>
            <a:rPr kumimoji="1" lang="ja-JP" altLang="ja-JP" sz="10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にアップロードすることで一括登録が可能です。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■</a:t>
          </a:r>
          <a:r>
            <a:rPr kumimoji="1" lang="ja-JP" altLang="ja-JP" sz="1000" b="1" u="sng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手順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１）入力完了後、「エラーチェック実施」ボタンを押下して下さい。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　エラーチェック結果が「アップロード可」の場合のみ、</a:t>
          </a:r>
          <a:r>
            <a:rPr kumimoji="1" lang="en-US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P'</a:t>
          </a:r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ｓ</a:t>
          </a:r>
          <a:r>
            <a:rPr kumimoji="1" lang="en-US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Roll</a:t>
          </a:r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にアップロード可能です。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２）</a:t>
          </a:r>
          <a:r>
            <a:rPr kumimoji="1" lang="en-US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P'sRoll</a:t>
          </a:r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の「人材育成計画 詳細表示」画面より本ファイルをアップロードして下さい。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■</a:t>
          </a:r>
          <a:r>
            <a:rPr kumimoji="1" lang="ja-JP" altLang="ja-JP" sz="1000" b="1" u="sng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注意点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１）社員の追加、削除はこのファイルではできません。</a:t>
          </a:r>
          <a:endParaRPr lang="ja-JP" altLang="ja-JP" sz="1000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0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２）不明点につきましては、調達職能人事にご連絡下さい。</a:t>
          </a:r>
          <a:endParaRPr kumimoji="1" lang="ja-JP" altLang="en-US" sz="10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9</xdr:row>
          <xdr:rowOff>19050</xdr:rowOff>
        </xdr:from>
        <xdr:to>
          <xdr:col>4</xdr:col>
          <xdr:colOff>238125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エラーチェック実施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0CCC-851A-48B5-8217-009CE64C750A}">
  <sheetPr codeName="Sheet1"/>
  <dimension ref="B2:AB22"/>
  <sheetViews>
    <sheetView view="pageBreakPreview" zoomScaleNormal="100" zoomScaleSheetLayoutView="100" workbookViewId="0"/>
  </sheetViews>
  <sheetFormatPr defaultColWidth="4.125" defaultRowHeight="14.25" x14ac:dyDescent="0.15"/>
  <cols>
    <col min="1" max="16384" width="4.125" style="2"/>
  </cols>
  <sheetData>
    <row r="2" spans="2:28" x14ac:dyDescent="0.1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2:28" x14ac:dyDescent="0.1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2:28" ht="16.5" x14ac:dyDescent="0.15">
      <c r="B4" s="1"/>
      <c r="C4" s="87" t="s">
        <v>54</v>
      </c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1"/>
    </row>
    <row r="5" spans="2:28" x14ac:dyDescent="0.15">
      <c r="B5" s="1"/>
      <c r="C5" s="1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1"/>
    </row>
    <row r="6" spans="2:28" s="5" customFormat="1" ht="17.25" thickBot="1" x14ac:dyDescent="0.2">
      <c r="B6" s="4"/>
      <c r="C6" s="88" t="s">
        <v>55</v>
      </c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4"/>
    </row>
    <row r="7" spans="2:28" ht="15" thickTop="1" x14ac:dyDescent="0.15">
      <c r="B7" s="1"/>
      <c r="C7" s="6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8"/>
      <c r="AB7" s="1"/>
    </row>
    <row r="8" spans="2:28" x14ac:dyDescent="0.15">
      <c r="B8" s="1"/>
      <c r="C8" s="9"/>
      <c r="D8" s="10" t="s">
        <v>56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1"/>
      <c r="AB8" s="1"/>
    </row>
    <row r="9" spans="2:28" x14ac:dyDescent="0.15">
      <c r="B9" s="1"/>
      <c r="C9" s="9"/>
      <c r="D9" s="10" t="s">
        <v>57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1"/>
      <c r="AB9" s="1"/>
    </row>
    <row r="10" spans="2:28" x14ac:dyDescent="0.15">
      <c r="B10" s="1"/>
      <c r="C10" s="9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1"/>
      <c r="AB10" s="1"/>
    </row>
    <row r="11" spans="2:28" x14ac:dyDescent="0.15">
      <c r="B11" s="1"/>
      <c r="C11" s="9"/>
      <c r="D11" s="10" t="s">
        <v>58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1"/>
      <c r="AB11" s="1"/>
    </row>
    <row r="12" spans="2:28" x14ac:dyDescent="0.15">
      <c r="B12" s="1"/>
      <c r="C12" s="9"/>
      <c r="D12" s="10"/>
      <c r="E12" s="10" t="s">
        <v>59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1"/>
      <c r="AB12" s="1"/>
    </row>
    <row r="13" spans="2:28" x14ac:dyDescent="0.15">
      <c r="B13" s="1"/>
      <c r="C13" s="9"/>
      <c r="D13" s="10"/>
      <c r="E13" s="10" t="s">
        <v>60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1"/>
      <c r="AB13" s="1"/>
    </row>
    <row r="14" spans="2:28" x14ac:dyDescent="0.15">
      <c r="B14" s="1"/>
      <c r="C14" s="9"/>
      <c r="D14" s="10"/>
      <c r="E14" s="10" t="s">
        <v>166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1"/>
      <c r="AB14" s="1"/>
    </row>
    <row r="15" spans="2:28" x14ac:dyDescent="0.15">
      <c r="B15" s="1"/>
      <c r="C15" s="9"/>
      <c r="D15" s="10"/>
      <c r="E15" s="10" t="s">
        <v>61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1"/>
      <c r="AB15" s="1"/>
    </row>
    <row r="16" spans="2:28" x14ac:dyDescent="0.15">
      <c r="B16" s="1"/>
      <c r="C16" s="9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1"/>
      <c r="AB16" s="1"/>
    </row>
    <row r="17" spans="2:28" x14ac:dyDescent="0.15">
      <c r="B17" s="1"/>
      <c r="C17" s="9"/>
      <c r="D17" s="10" t="s">
        <v>62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1"/>
      <c r="AB17" s="1"/>
    </row>
    <row r="18" spans="2:28" x14ac:dyDescent="0.15">
      <c r="B18" s="1"/>
      <c r="C18" s="9"/>
      <c r="D18" s="10"/>
      <c r="E18" s="10" t="s">
        <v>63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1"/>
      <c r="AB18" s="1"/>
    </row>
    <row r="19" spans="2:28" x14ac:dyDescent="0.15">
      <c r="B19" s="1"/>
      <c r="C19" s="9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1"/>
      <c r="AB19" s="1"/>
    </row>
    <row r="20" spans="2:28" ht="15" thickBot="1" x14ac:dyDescent="0.2">
      <c r="B20" s="1"/>
      <c r="C20" s="12" t="s">
        <v>64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4"/>
      <c r="AB20" s="1"/>
    </row>
    <row r="21" spans="2:28" ht="15" thickTop="1" x14ac:dyDescent="0.1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2:28" x14ac:dyDescent="0.1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</sheetData>
  <sheetProtection sheet="1" objects="1" scenarios="1"/>
  <mergeCells count="2">
    <mergeCell ref="C4:AA4"/>
    <mergeCell ref="C6:AA6"/>
  </mergeCells>
  <phoneticPr fontId="2"/>
  <pageMargins left="0.7" right="0.7" top="0.75" bottom="0.75" header="0.3" footer="0.3"/>
  <pageSetup paperSize="9" scale="77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5701F-DB00-43B6-8522-2814E796EC8F}">
  <sheetPr codeName="Sheet2"/>
  <dimension ref="A2:DC18"/>
  <sheetViews>
    <sheetView showGridLines="0" tabSelected="1" zoomScaleNormal="100" workbookViewId="0">
      <pane ySplit="16" topLeftCell="A17" activePane="bottomLeft" state="frozen"/>
      <selection pane="bottomLeft"/>
    </sheetView>
  </sheetViews>
  <sheetFormatPr defaultRowHeight="11.25" x14ac:dyDescent="0.15"/>
  <cols>
    <col min="1" max="1" width="2.125" style="35" customWidth="1"/>
    <col min="2" max="2" width="12.875" style="35" customWidth="1"/>
    <col min="3" max="3" width="5.875" style="35" customWidth="1"/>
    <col min="4" max="4" width="6.75" style="35" bestFit="1" customWidth="1"/>
    <col min="5" max="5" width="12.625" style="35" bestFit="1" customWidth="1"/>
    <col min="6" max="6" width="38.375" style="35" bestFit="1" customWidth="1"/>
    <col min="7" max="7" width="9.125" style="35" bestFit="1" customWidth="1"/>
    <col min="8" max="9" width="4.5" style="35" bestFit="1" customWidth="1"/>
    <col min="10" max="11" width="5.125" style="35" customWidth="1"/>
    <col min="12" max="12" width="8.625" style="35" customWidth="1"/>
    <col min="13" max="13" width="6.25" style="35" customWidth="1"/>
    <col min="14" max="14" width="4.5" style="35" bestFit="1" customWidth="1"/>
    <col min="15" max="15" width="9.125" style="35" bestFit="1" customWidth="1"/>
    <col min="16" max="16" width="12.625" style="35" bestFit="1" customWidth="1"/>
    <col min="17" max="17" width="7.5" style="35" bestFit="1" customWidth="1"/>
    <col min="18" max="18" width="10" style="35" bestFit="1" customWidth="1"/>
    <col min="19" max="19" width="9.125" style="37" bestFit="1" customWidth="1"/>
    <col min="20" max="20" width="7.5" style="37" bestFit="1" customWidth="1"/>
    <col min="21" max="21" width="7.75" style="37" bestFit="1" customWidth="1"/>
    <col min="22" max="22" width="7.75" style="37" customWidth="1"/>
    <col min="23" max="23" width="19.5" style="37" bestFit="1" customWidth="1"/>
    <col min="24" max="24" width="5.625" style="37" customWidth="1"/>
    <col min="25" max="25" width="9.125" style="37" bestFit="1" customWidth="1"/>
    <col min="26" max="26" width="16" style="37" bestFit="1" customWidth="1"/>
    <col min="27" max="27" width="7.5" style="37" bestFit="1" customWidth="1"/>
    <col min="28" max="28" width="11.75" style="37" bestFit="1" customWidth="1"/>
    <col min="29" max="29" width="11.75" style="37" customWidth="1"/>
    <col min="30" max="30" width="4.5" style="37" bestFit="1" customWidth="1"/>
    <col min="31" max="31" width="13.875" style="37" bestFit="1" customWidth="1"/>
    <col min="32" max="32" width="6.625" style="37" customWidth="1"/>
    <col min="33" max="33" width="16.5" style="37" customWidth="1"/>
    <col min="34" max="34" width="8.625" style="37" customWidth="1"/>
    <col min="35" max="35" width="11.625" style="37" customWidth="1"/>
    <col min="36" max="36" width="8.625" style="37" customWidth="1"/>
    <col min="37" max="37" width="11.625" style="37" customWidth="1"/>
    <col min="38" max="38" width="28.625" style="37" customWidth="1"/>
    <col min="39" max="39" width="9.125" style="38" customWidth="1"/>
    <col min="40" max="40" width="14.625" style="37" customWidth="1"/>
    <col min="41" max="41" width="20.625" style="37" customWidth="1"/>
    <col min="42" max="42" width="11.125" style="37" customWidth="1"/>
    <col min="43" max="43" width="10.125" style="37" customWidth="1"/>
    <col min="44" max="44" width="18.125" style="37" customWidth="1"/>
    <col min="45" max="45" width="12.625" style="37" customWidth="1"/>
    <col min="46" max="47" width="16.625" style="37" customWidth="1"/>
    <col min="48" max="48" width="14.625" style="37" customWidth="1"/>
    <col min="49" max="49" width="18.625" style="37" customWidth="1"/>
    <col min="50" max="50" width="9.125" style="38" customWidth="1"/>
    <col min="51" max="51" width="14.625" style="37" customWidth="1"/>
    <col min="52" max="52" width="20.625" style="37" customWidth="1"/>
    <col min="53" max="53" width="11.125" style="37" customWidth="1"/>
    <col min="54" max="54" width="10.125" style="37" customWidth="1"/>
    <col min="55" max="55" width="18.125" style="37" customWidth="1"/>
    <col min="56" max="56" width="12.625" style="37" customWidth="1"/>
    <col min="57" max="58" width="16.625" style="37" customWidth="1"/>
    <col min="59" max="59" width="14.625" style="37" customWidth="1"/>
    <col min="60" max="60" width="18.625" style="37" customWidth="1"/>
    <col min="61" max="61" width="9.125" style="38" customWidth="1"/>
    <col min="62" max="62" width="14.625" style="37" customWidth="1"/>
    <col min="63" max="63" width="20.625" style="37" customWidth="1"/>
    <col min="64" max="64" width="11.125" style="37" customWidth="1"/>
    <col min="65" max="65" width="10.125" style="37" customWidth="1"/>
    <col min="66" max="66" width="18.125" style="37" customWidth="1"/>
    <col min="67" max="67" width="12.625" style="37" customWidth="1"/>
    <col min="68" max="69" width="16.625" style="37" customWidth="1"/>
    <col min="70" max="70" width="14.625" style="37" customWidth="1"/>
    <col min="71" max="71" width="18.625" style="37" customWidth="1"/>
    <col min="72" max="72" width="9.125" style="38" customWidth="1"/>
    <col min="73" max="73" width="14.625" style="37" customWidth="1"/>
    <col min="74" max="74" width="20.625" style="37" customWidth="1"/>
    <col min="75" max="75" width="11.125" style="37" customWidth="1"/>
    <col min="76" max="76" width="10.125" style="37" customWidth="1"/>
    <col min="77" max="77" width="18.125" style="37" customWidth="1"/>
    <col min="78" max="78" width="12.625" style="37" customWidth="1"/>
    <col min="79" max="80" width="16.625" style="37" customWidth="1"/>
    <col min="81" max="81" width="14.625" style="37" customWidth="1"/>
    <col min="82" max="82" width="18.625" style="37" customWidth="1"/>
    <col min="83" max="83" width="9.125" style="38" customWidth="1"/>
    <col min="84" max="84" width="14.625" style="37" customWidth="1"/>
    <col min="85" max="85" width="20.625" style="37" customWidth="1"/>
    <col min="86" max="86" width="11.125" style="37" customWidth="1"/>
    <col min="87" max="87" width="10.125" style="37" customWidth="1"/>
    <col min="88" max="88" width="18.125" style="37" customWidth="1"/>
    <col min="89" max="89" width="12.625" style="37" customWidth="1"/>
    <col min="90" max="91" width="16.625" style="37" customWidth="1"/>
    <col min="92" max="92" width="14.625" style="37" customWidth="1"/>
    <col min="93" max="93" width="18.625" style="37" customWidth="1"/>
    <col min="94" max="94" width="9.125" style="38" customWidth="1"/>
    <col min="95" max="95" width="20.625" style="37" customWidth="1"/>
    <col min="96" max="96" width="10.125" style="37" customWidth="1"/>
    <col min="97" max="97" width="18.125" style="37" customWidth="1"/>
    <col min="98" max="98" width="12.625" style="37" customWidth="1"/>
    <col min="99" max="100" width="16.625" style="37" customWidth="1"/>
    <col min="101" max="101" width="14.625" style="37" customWidth="1"/>
    <col min="102" max="102" width="18.625" style="37" customWidth="1"/>
    <col min="103" max="103" width="38.125" style="37" customWidth="1"/>
    <col min="104" max="16384" width="9" style="35"/>
  </cols>
  <sheetData>
    <row r="2" spans="1:107" ht="24" customHeight="1" x14ac:dyDescent="0.15">
      <c r="A2" s="34" t="s">
        <v>0</v>
      </c>
      <c r="B2" s="34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F2" s="37" t="s">
        <v>161</v>
      </c>
    </row>
    <row r="3" spans="1:107" ht="11.1" customHeight="1" x14ac:dyDescent="0.15">
      <c r="C3" s="3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F3" s="39"/>
      <c r="AG3" s="37" t="s">
        <v>159</v>
      </c>
    </row>
    <row r="4" spans="1:107" ht="11.1" customHeight="1" x14ac:dyDescent="0.15">
      <c r="B4" s="110" t="s">
        <v>162</v>
      </c>
      <c r="C4" s="111"/>
      <c r="D4" s="111"/>
      <c r="E4" s="111"/>
      <c r="O4" s="40" t="s">
        <v>1</v>
      </c>
      <c r="P4" s="41"/>
      <c r="Q4" s="42" t="s">
        <v>2</v>
      </c>
      <c r="R4" s="43"/>
      <c r="S4" s="40" t="s">
        <v>3</v>
      </c>
      <c r="T4" s="43"/>
      <c r="U4" s="44" t="s">
        <v>4</v>
      </c>
      <c r="W4" s="36"/>
      <c r="X4" s="36"/>
      <c r="Y4" s="36"/>
      <c r="Z4" s="36"/>
      <c r="AA4" s="36"/>
      <c r="AF4" s="45"/>
      <c r="AG4" s="37" t="s">
        <v>160</v>
      </c>
      <c r="AK4" s="38"/>
      <c r="AM4" s="37"/>
      <c r="AV4" s="38"/>
      <c r="AX4" s="37"/>
      <c r="BG4" s="38"/>
      <c r="BI4" s="37"/>
      <c r="BR4" s="38"/>
      <c r="BT4" s="37"/>
      <c r="CC4" s="38"/>
      <c r="CE4" s="37"/>
      <c r="CN4" s="38"/>
      <c r="CP4" s="37"/>
      <c r="CW4" s="35"/>
      <c r="CX4" s="35"/>
      <c r="CY4" s="35"/>
    </row>
    <row r="5" spans="1:107" ht="11.1" customHeight="1" x14ac:dyDescent="0.15">
      <c r="B5" s="111"/>
      <c r="C5" s="111"/>
      <c r="D5" s="111"/>
      <c r="E5" s="111"/>
      <c r="O5" s="46" t="s">
        <v>5</v>
      </c>
      <c r="P5" s="47"/>
      <c r="Q5" s="48" t="s">
        <v>6</v>
      </c>
      <c r="R5" s="49"/>
      <c r="S5" s="50" t="s">
        <v>69</v>
      </c>
      <c r="T5" s="51"/>
      <c r="U5" s="85">
        <f ca="1">IF(NOW(),COUNTIFS(T:T,"11年目以上",W:W,"5年以上",P:P,"部課長",CZ:CZ,"0"))</f>
        <v>0</v>
      </c>
      <c r="W5" s="36"/>
      <c r="X5" s="36"/>
      <c r="Y5" s="36"/>
      <c r="Z5" s="36"/>
      <c r="AA5" s="36"/>
      <c r="AB5" s="52"/>
      <c r="AC5" s="52"/>
      <c r="AF5" s="53"/>
      <c r="AG5" s="37" t="s">
        <v>167</v>
      </c>
      <c r="AK5" s="38"/>
      <c r="AM5" s="37"/>
      <c r="AV5" s="38"/>
      <c r="AX5" s="37"/>
      <c r="BG5" s="38"/>
      <c r="BI5" s="37"/>
      <c r="BR5" s="38"/>
      <c r="BT5" s="37"/>
      <c r="CC5" s="38"/>
      <c r="CE5" s="37"/>
      <c r="CN5" s="38"/>
      <c r="CP5" s="37"/>
      <c r="CW5" s="35"/>
      <c r="CX5" s="35"/>
      <c r="CY5" s="35"/>
    </row>
    <row r="6" spans="1:107" ht="11.1" customHeight="1" x14ac:dyDescent="0.15">
      <c r="B6" s="111"/>
      <c r="C6" s="111"/>
      <c r="D6" s="111"/>
      <c r="E6" s="111"/>
      <c r="O6" s="54" t="s">
        <v>7</v>
      </c>
      <c r="P6" s="55"/>
      <c r="Q6" s="56"/>
      <c r="R6" s="57"/>
      <c r="S6" s="58" t="s">
        <v>8</v>
      </c>
      <c r="T6" s="59"/>
      <c r="U6" s="86">
        <f ca="1">IF(NOW(),COUNTIFS(T:T,"11年目以上",W:W,"5年以上",P:P,"部課長以外",CZ:CZ,"0"))</f>
        <v>0</v>
      </c>
      <c r="W6" s="36"/>
      <c r="X6" s="36"/>
      <c r="Y6" s="36"/>
      <c r="Z6" s="36"/>
      <c r="AA6" s="36"/>
      <c r="AB6" s="52"/>
      <c r="AC6" s="52"/>
      <c r="AK6" s="38"/>
      <c r="AM6" s="37"/>
      <c r="AV6" s="38"/>
      <c r="AX6" s="37"/>
      <c r="BG6" s="38"/>
      <c r="BI6" s="37"/>
      <c r="BR6" s="38"/>
      <c r="BT6" s="37"/>
      <c r="CC6" s="38"/>
      <c r="CE6" s="37"/>
      <c r="CN6" s="38"/>
      <c r="CP6" s="37"/>
      <c r="CW6" s="35"/>
      <c r="CX6" s="35"/>
      <c r="CY6" s="35"/>
    </row>
    <row r="7" spans="1:107" ht="11.1" customHeight="1" x14ac:dyDescent="0.15">
      <c r="B7" s="112"/>
      <c r="C7" s="112"/>
      <c r="D7" s="112"/>
      <c r="E7" s="112"/>
      <c r="O7" s="60"/>
      <c r="P7" s="55"/>
      <c r="Q7" s="61" t="s">
        <v>9</v>
      </c>
      <c r="R7" s="62"/>
      <c r="S7" s="58" t="s">
        <v>69</v>
      </c>
      <c r="T7" s="59"/>
      <c r="U7" s="86">
        <f ca="1">IF(NOW(),COUNTIFS(T:T,"11年目以上",W:W,"5年未満",P:P,"部課長",CZ:CZ,"0"))</f>
        <v>0</v>
      </c>
      <c r="W7" s="36"/>
      <c r="X7" s="36"/>
      <c r="Y7" s="36"/>
      <c r="Z7" s="36"/>
      <c r="AA7" s="36"/>
      <c r="AB7" s="52"/>
      <c r="AC7" s="52"/>
      <c r="AK7" s="38"/>
      <c r="AM7" s="37"/>
      <c r="AV7" s="38"/>
      <c r="AX7" s="37"/>
      <c r="BG7" s="38"/>
      <c r="BI7" s="37"/>
      <c r="BR7" s="38"/>
      <c r="BT7" s="37"/>
      <c r="CC7" s="38"/>
      <c r="CE7" s="37"/>
      <c r="CN7" s="38"/>
      <c r="CP7" s="37"/>
      <c r="CW7" s="35"/>
      <c r="CX7" s="35"/>
      <c r="CY7" s="35"/>
    </row>
    <row r="8" spans="1:107" ht="11.1" customHeight="1" x14ac:dyDescent="0.15">
      <c r="B8" s="112"/>
      <c r="C8" s="112"/>
      <c r="D8" s="112"/>
      <c r="E8" s="112"/>
      <c r="O8" s="63"/>
      <c r="P8" s="64"/>
      <c r="Q8" s="56"/>
      <c r="R8" s="57"/>
      <c r="S8" s="58" t="s">
        <v>8</v>
      </c>
      <c r="T8" s="59"/>
      <c r="U8" s="86">
        <f ca="1">IF(NOW(),COUNTIFS(T:T,"11年目以上",W:W,"5年未満",P:P,"部課長以外",CZ:CZ,"0"))</f>
        <v>0</v>
      </c>
      <c r="W8" s="36"/>
      <c r="X8" s="36"/>
      <c r="Y8" s="36"/>
      <c r="Z8" s="36"/>
      <c r="AA8" s="36"/>
      <c r="AB8" s="52"/>
      <c r="AC8" s="52"/>
      <c r="AK8" s="38"/>
      <c r="AM8" s="37"/>
      <c r="AV8" s="38"/>
      <c r="AX8" s="37"/>
      <c r="BG8" s="38"/>
      <c r="BI8" s="37"/>
      <c r="BR8" s="38"/>
      <c r="BT8" s="37"/>
      <c r="CC8" s="38"/>
      <c r="CE8" s="37"/>
      <c r="CN8" s="38"/>
      <c r="CP8" s="37"/>
      <c r="CW8" s="35"/>
      <c r="CX8" s="35"/>
      <c r="CY8" s="35"/>
    </row>
    <row r="9" spans="1:107" ht="11.1" customHeight="1" x14ac:dyDescent="0.15">
      <c r="C9" s="34"/>
      <c r="O9" s="58" t="s">
        <v>10</v>
      </c>
      <c r="P9" s="65"/>
      <c r="Q9" s="65"/>
      <c r="R9" s="65"/>
      <c r="S9" s="65"/>
      <c r="T9" s="59"/>
      <c r="U9" s="86">
        <f ca="1">IF(NOW(),COUNTIFS(T:T,"6～10年目",CZ:CZ,"0"))</f>
        <v>0</v>
      </c>
      <c r="W9" s="36"/>
      <c r="X9" s="36"/>
      <c r="Y9" s="36"/>
      <c r="Z9" s="36"/>
      <c r="AA9" s="36"/>
      <c r="AB9" s="52"/>
      <c r="AC9" s="52"/>
      <c r="AK9" s="38"/>
      <c r="AM9" s="37"/>
      <c r="AV9" s="38"/>
      <c r="AX9" s="37"/>
      <c r="BG9" s="38"/>
      <c r="BI9" s="37"/>
      <c r="BR9" s="38"/>
      <c r="BT9" s="37"/>
      <c r="CC9" s="38"/>
      <c r="CE9" s="37"/>
      <c r="CN9" s="38"/>
      <c r="CP9" s="37"/>
      <c r="CW9" s="35"/>
      <c r="CX9" s="35"/>
      <c r="CY9" s="35"/>
    </row>
    <row r="10" spans="1:107" ht="11.1" customHeight="1" x14ac:dyDescent="0.15">
      <c r="C10" s="34"/>
      <c r="O10" s="58" t="s">
        <v>11</v>
      </c>
      <c r="P10" s="65"/>
      <c r="Q10" s="65"/>
      <c r="R10" s="65"/>
      <c r="S10" s="65"/>
      <c r="T10" s="59"/>
      <c r="U10" s="86">
        <f ca="1">IF(NOW(),COUNTIFS(T:T,"1～5年目",CZ:CZ,"0"))</f>
        <v>0</v>
      </c>
      <c r="W10" s="36"/>
      <c r="X10" s="36"/>
      <c r="Y10" s="36"/>
      <c r="Z10" s="36"/>
      <c r="AA10" s="36"/>
      <c r="AB10" s="52"/>
      <c r="AC10" s="52"/>
      <c r="AK10" s="38"/>
      <c r="AM10" s="37"/>
      <c r="AV10" s="38"/>
      <c r="AX10" s="37"/>
      <c r="BG10" s="38"/>
      <c r="BI10" s="37"/>
      <c r="BR10" s="38"/>
      <c r="BT10" s="37"/>
      <c r="CC10" s="38"/>
      <c r="CE10" s="37"/>
      <c r="CN10" s="38"/>
      <c r="CP10" s="37"/>
      <c r="CW10" s="35"/>
      <c r="CX10" s="35"/>
      <c r="CY10" s="35"/>
    </row>
    <row r="11" spans="1:107" ht="11.1" customHeight="1" x14ac:dyDescent="0.15">
      <c r="C11" s="34"/>
      <c r="O11" s="58" t="s">
        <v>70</v>
      </c>
      <c r="P11" s="66"/>
      <c r="Q11" s="66"/>
      <c r="R11" s="66"/>
      <c r="S11" s="66"/>
      <c r="T11" s="67"/>
      <c r="U11" s="86">
        <f ca="1">IF(NOW(),COUNTIF(CZ:CZ,"1"))</f>
        <v>0</v>
      </c>
      <c r="W11" s="36"/>
      <c r="X11" s="36"/>
      <c r="Y11" s="36"/>
      <c r="Z11" s="36"/>
      <c r="AA11" s="36"/>
      <c r="AB11" s="52"/>
      <c r="AC11" s="52"/>
      <c r="AK11" s="38"/>
      <c r="AM11" s="37"/>
      <c r="AV11" s="38"/>
      <c r="AX11" s="37"/>
      <c r="BG11" s="38"/>
      <c r="BI11" s="37"/>
      <c r="BR11" s="38"/>
      <c r="BT11" s="37"/>
      <c r="CC11" s="38"/>
      <c r="CE11" s="37"/>
      <c r="CN11" s="38"/>
      <c r="CP11" s="37"/>
      <c r="CW11" s="35"/>
      <c r="CX11" s="35"/>
      <c r="CY11" s="35"/>
    </row>
    <row r="12" spans="1:107" ht="11.1" customHeight="1" x14ac:dyDescent="0.15">
      <c r="C12" s="34"/>
      <c r="O12" s="113" t="s">
        <v>12</v>
      </c>
      <c r="P12" s="114"/>
      <c r="Q12" s="114"/>
      <c r="R12" s="114"/>
      <c r="S12" s="114"/>
      <c r="T12" s="115"/>
      <c r="U12" s="86">
        <f ca="1">IF(NOW(),SUM(U5:U11))</f>
        <v>0</v>
      </c>
      <c r="W12" s="36"/>
      <c r="X12" s="36"/>
      <c r="Y12" s="36"/>
      <c r="Z12" s="36"/>
      <c r="AA12" s="36"/>
      <c r="AB12" s="52"/>
      <c r="AC12" s="52"/>
      <c r="AK12" s="38"/>
      <c r="AM12" s="37"/>
      <c r="AV12" s="38"/>
      <c r="AX12" s="37"/>
      <c r="BG12" s="38"/>
      <c r="BI12" s="37"/>
      <c r="BR12" s="38"/>
      <c r="BT12" s="37"/>
      <c r="CC12" s="38"/>
      <c r="CE12" s="37"/>
      <c r="CN12" s="38"/>
      <c r="CP12" s="37"/>
      <c r="CW12" s="35"/>
      <c r="CX12" s="35"/>
      <c r="CY12" s="35"/>
    </row>
    <row r="13" spans="1:107" s="68" customFormat="1" ht="11.1" customHeight="1" x14ac:dyDescent="0.15">
      <c r="AH13" s="69"/>
      <c r="AM13" s="89" t="s">
        <v>153</v>
      </c>
      <c r="AN13" s="89"/>
      <c r="AO13" s="89"/>
      <c r="AP13" s="89"/>
      <c r="AQ13" s="89"/>
      <c r="AR13" s="89"/>
      <c r="AS13" s="89"/>
      <c r="AT13" s="89"/>
      <c r="AU13" s="89"/>
      <c r="AV13" s="89"/>
      <c r="AW13" s="89"/>
      <c r="AX13" s="89" t="s">
        <v>154</v>
      </c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 t="s">
        <v>155</v>
      </c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 t="s">
        <v>156</v>
      </c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9" t="s">
        <v>157</v>
      </c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 t="s">
        <v>158</v>
      </c>
      <c r="CQ13" s="89"/>
      <c r="CR13" s="89"/>
      <c r="CS13" s="89"/>
      <c r="CT13" s="89"/>
      <c r="CU13" s="89"/>
      <c r="CV13" s="89"/>
      <c r="CW13" s="89"/>
      <c r="CX13" s="89"/>
      <c r="CY13" s="69"/>
    </row>
    <row r="14" spans="1:107" s="68" customFormat="1" ht="22.5" customHeight="1" x14ac:dyDescent="0.15">
      <c r="B14" s="116" t="s">
        <v>13</v>
      </c>
      <c r="C14" s="116" t="s">
        <v>14</v>
      </c>
      <c r="D14" s="118" t="s">
        <v>15</v>
      </c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20"/>
      <c r="T14" s="121" t="s">
        <v>16</v>
      </c>
      <c r="U14" s="104" t="s">
        <v>17</v>
      </c>
      <c r="V14" s="105"/>
      <c r="W14" s="106"/>
      <c r="X14" s="107" t="s">
        <v>18</v>
      </c>
      <c r="Y14" s="107"/>
      <c r="Z14" s="107"/>
      <c r="AA14" s="107"/>
      <c r="AB14" s="107"/>
      <c r="AC14" s="107"/>
      <c r="AD14" s="107"/>
      <c r="AE14" s="107"/>
      <c r="AF14" s="108" t="s">
        <v>21</v>
      </c>
      <c r="AG14" s="108"/>
      <c r="AH14" s="109" t="s">
        <v>19</v>
      </c>
      <c r="AI14" s="109"/>
      <c r="AJ14" s="109" t="s">
        <v>20</v>
      </c>
      <c r="AK14" s="109"/>
      <c r="AL14" s="109" t="s">
        <v>71</v>
      </c>
      <c r="AM14" s="103" t="s">
        <v>95</v>
      </c>
      <c r="AN14" s="103"/>
      <c r="AO14" s="103"/>
      <c r="AP14" s="101" t="s">
        <v>72</v>
      </c>
      <c r="AQ14" s="101"/>
      <c r="AR14" s="101"/>
      <c r="AS14" s="101"/>
      <c r="AT14" s="101"/>
      <c r="AU14" s="101"/>
      <c r="AV14" s="101"/>
      <c r="AW14" s="102"/>
      <c r="AX14" s="103" t="s">
        <v>96</v>
      </c>
      <c r="AY14" s="103"/>
      <c r="AZ14" s="103"/>
      <c r="BA14" s="100" t="s">
        <v>73</v>
      </c>
      <c r="BB14" s="101"/>
      <c r="BC14" s="101"/>
      <c r="BD14" s="101"/>
      <c r="BE14" s="101"/>
      <c r="BF14" s="101"/>
      <c r="BG14" s="101"/>
      <c r="BH14" s="102"/>
      <c r="BI14" s="103" t="s">
        <v>97</v>
      </c>
      <c r="BJ14" s="103"/>
      <c r="BK14" s="103"/>
      <c r="BL14" s="101" t="s">
        <v>74</v>
      </c>
      <c r="BM14" s="101"/>
      <c r="BN14" s="101"/>
      <c r="BO14" s="101"/>
      <c r="BP14" s="101"/>
      <c r="BQ14" s="101"/>
      <c r="BR14" s="101"/>
      <c r="BS14" s="102"/>
      <c r="BT14" s="103" t="s">
        <v>75</v>
      </c>
      <c r="BU14" s="103"/>
      <c r="BV14" s="103"/>
      <c r="BW14" s="103" t="s">
        <v>76</v>
      </c>
      <c r="BX14" s="103"/>
      <c r="BY14" s="103"/>
      <c r="BZ14" s="103"/>
      <c r="CA14" s="103"/>
      <c r="CB14" s="103"/>
      <c r="CC14" s="103"/>
      <c r="CD14" s="103"/>
      <c r="CE14" s="103" t="s">
        <v>98</v>
      </c>
      <c r="CF14" s="103"/>
      <c r="CG14" s="103"/>
      <c r="CH14" s="101" t="s">
        <v>99</v>
      </c>
      <c r="CI14" s="101"/>
      <c r="CJ14" s="101"/>
      <c r="CK14" s="101"/>
      <c r="CL14" s="101"/>
      <c r="CM14" s="101"/>
      <c r="CN14" s="101"/>
      <c r="CO14" s="102"/>
      <c r="CP14" s="100" t="s">
        <v>77</v>
      </c>
      <c r="CQ14" s="102"/>
      <c r="CR14" s="100" t="s">
        <v>78</v>
      </c>
      <c r="CS14" s="101"/>
      <c r="CT14" s="101"/>
      <c r="CU14" s="101"/>
      <c r="CV14" s="101"/>
      <c r="CW14" s="101"/>
      <c r="CX14" s="102"/>
      <c r="CY14" s="90" t="s">
        <v>79</v>
      </c>
      <c r="CZ14" s="70"/>
      <c r="DA14" s="70"/>
      <c r="DB14" s="70"/>
      <c r="DC14" s="70"/>
    </row>
    <row r="15" spans="1:107" s="68" customFormat="1" ht="22.5" x14ac:dyDescent="0.15">
      <c r="B15" s="117"/>
      <c r="C15" s="117"/>
      <c r="D15" s="71" t="s">
        <v>22</v>
      </c>
      <c r="E15" s="72" t="s">
        <v>23</v>
      </c>
      <c r="F15" s="72" t="s">
        <v>24</v>
      </c>
      <c r="G15" s="72" t="s">
        <v>25</v>
      </c>
      <c r="H15" s="71" t="s">
        <v>26</v>
      </c>
      <c r="I15" s="72" t="s">
        <v>27</v>
      </c>
      <c r="J15" s="72" t="s">
        <v>28</v>
      </c>
      <c r="K15" s="72" t="s">
        <v>29</v>
      </c>
      <c r="L15" s="71" t="s">
        <v>30</v>
      </c>
      <c r="M15" s="71" t="s">
        <v>80</v>
      </c>
      <c r="N15" s="72" t="s">
        <v>31</v>
      </c>
      <c r="O15" s="72" t="s">
        <v>32</v>
      </c>
      <c r="P15" s="72" t="s">
        <v>33</v>
      </c>
      <c r="Q15" s="71" t="s">
        <v>34</v>
      </c>
      <c r="R15" s="71" t="s">
        <v>35</v>
      </c>
      <c r="S15" s="71" t="s">
        <v>36</v>
      </c>
      <c r="T15" s="122"/>
      <c r="U15" s="73" t="s">
        <v>37</v>
      </c>
      <c r="V15" s="73" t="s">
        <v>38</v>
      </c>
      <c r="W15" s="73" t="s">
        <v>39</v>
      </c>
      <c r="X15" s="74" t="s">
        <v>40</v>
      </c>
      <c r="Y15" s="75" t="s">
        <v>41</v>
      </c>
      <c r="Z15" s="75" t="s">
        <v>42</v>
      </c>
      <c r="AA15" s="76" t="s">
        <v>43</v>
      </c>
      <c r="AB15" s="74" t="s">
        <v>44</v>
      </c>
      <c r="AC15" s="74" t="s">
        <v>45</v>
      </c>
      <c r="AD15" s="73" t="s">
        <v>46</v>
      </c>
      <c r="AE15" s="74" t="s">
        <v>47</v>
      </c>
      <c r="AF15" s="77" t="s">
        <v>52</v>
      </c>
      <c r="AG15" s="77" t="s">
        <v>53</v>
      </c>
      <c r="AH15" s="78" t="s">
        <v>48</v>
      </c>
      <c r="AI15" s="78" t="s">
        <v>49</v>
      </c>
      <c r="AJ15" s="78" t="s">
        <v>50</v>
      </c>
      <c r="AK15" s="78" t="s">
        <v>51</v>
      </c>
      <c r="AL15" s="109"/>
      <c r="AM15" s="79" t="s">
        <v>68</v>
      </c>
      <c r="AN15" s="80" t="s">
        <v>81</v>
      </c>
      <c r="AO15" s="80" t="s">
        <v>82</v>
      </c>
      <c r="AP15" s="80" t="s">
        <v>83</v>
      </c>
      <c r="AQ15" s="80" t="s">
        <v>41</v>
      </c>
      <c r="AR15" s="80" t="s">
        <v>42</v>
      </c>
      <c r="AS15" s="81" t="s">
        <v>43</v>
      </c>
      <c r="AT15" s="81" t="s">
        <v>44</v>
      </c>
      <c r="AU15" s="81" t="s">
        <v>45</v>
      </c>
      <c r="AV15" s="80" t="s">
        <v>46</v>
      </c>
      <c r="AW15" s="81" t="s">
        <v>47</v>
      </c>
      <c r="AX15" s="80" t="s">
        <v>68</v>
      </c>
      <c r="AY15" s="80" t="s">
        <v>81</v>
      </c>
      <c r="AZ15" s="80" t="s">
        <v>82</v>
      </c>
      <c r="BA15" s="80" t="s">
        <v>83</v>
      </c>
      <c r="BB15" s="80" t="s">
        <v>41</v>
      </c>
      <c r="BC15" s="80" t="s">
        <v>42</v>
      </c>
      <c r="BD15" s="81" t="s">
        <v>43</v>
      </c>
      <c r="BE15" s="81" t="s">
        <v>44</v>
      </c>
      <c r="BF15" s="81" t="s">
        <v>45</v>
      </c>
      <c r="BG15" s="80" t="s">
        <v>46</v>
      </c>
      <c r="BH15" s="81" t="s">
        <v>47</v>
      </c>
      <c r="BI15" s="80" t="s">
        <v>68</v>
      </c>
      <c r="BJ15" s="80" t="s">
        <v>81</v>
      </c>
      <c r="BK15" s="80" t="s">
        <v>82</v>
      </c>
      <c r="BL15" s="80" t="s">
        <v>83</v>
      </c>
      <c r="BM15" s="80" t="s">
        <v>41</v>
      </c>
      <c r="BN15" s="80" t="s">
        <v>42</v>
      </c>
      <c r="BO15" s="81" t="s">
        <v>43</v>
      </c>
      <c r="BP15" s="81" t="s">
        <v>44</v>
      </c>
      <c r="BQ15" s="81" t="s">
        <v>45</v>
      </c>
      <c r="BR15" s="80" t="s">
        <v>46</v>
      </c>
      <c r="BS15" s="81" t="s">
        <v>47</v>
      </c>
      <c r="BT15" s="80" t="s">
        <v>68</v>
      </c>
      <c r="BU15" s="80" t="s">
        <v>81</v>
      </c>
      <c r="BV15" s="80" t="s">
        <v>82</v>
      </c>
      <c r="BW15" s="80" t="s">
        <v>83</v>
      </c>
      <c r="BX15" s="80" t="s">
        <v>41</v>
      </c>
      <c r="BY15" s="80" t="s">
        <v>42</v>
      </c>
      <c r="BZ15" s="81" t="s">
        <v>43</v>
      </c>
      <c r="CA15" s="81" t="s">
        <v>44</v>
      </c>
      <c r="CB15" s="81" t="s">
        <v>45</v>
      </c>
      <c r="CC15" s="80" t="s">
        <v>46</v>
      </c>
      <c r="CD15" s="81" t="s">
        <v>47</v>
      </c>
      <c r="CE15" s="80" t="s">
        <v>68</v>
      </c>
      <c r="CF15" s="80" t="s">
        <v>81</v>
      </c>
      <c r="CG15" s="80" t="s">
        <v>82</v>
      </c>
      <c r="CH15" s="80" t="s">
        <v>83</v>
      </c>
      <c r="CI15" s="80" t="s">
        <v>41</v>
      </c>
      <c r="CJ15" s="80" t="s">
        <v>42</v>
      </c>
      <c r="CK15" s="81" t="s">
        <v>43</v>
      </c>
      <c r="CL15" s="81" t="s">
        <v>44</v>
      </c>
      <c r="CM15" s="81" t="s">
        <v>45</v>
      </c>
      <c r="CN15" s="80" t="s">
        <v>46</v>
      </c>
      <c r="CO15" s="81" t="s">
        <v>47</v>
      </c>
      <c r="CP15" s="80" t="s">
        <v>68</v>
      </c>
      <c r="CQ15" s="80" t="s">
        <v>82</v>
      </c>
      <c r="CR15" s="80" t="s">
        <v>41</v>
      </c>
      <c r="CS15" s="80" t="s">
        <v>42</v>
      </c>
      <c r="CT15" s="81" t="s">
        <v>43</v>
      </c>
      <c r="CU15" s="81" t="s">
        <v>44</v>
      </c>
      <c r="CV15" s="81" t="s">
        <v>45</v>
      </c>
      <c r="CW15" s="80" t="s">
        <v>46</v>
      </c>
      <c r="CX15" s="81" t="s">
        <v>47</v>
      </c>
      <c r="CY15" s="91"/>
      <c r="CZ15" s="70"/>
      <c r="DA15" s="70"/>
      <c r="DB15" s="70"/>
      <c r="DC15" s="70"/>
    </row>
    <row r="16" spans="1:107" s="82" customFormat="1" ht="27" hidden="1" customHeight="1" x14ac:dyDescent="0.15">
      <c r="B16" s="83" t="s">
        <v>84</v>
      </c>
      <c r="C16" s="83" t="s">
        <v>84</v>
      </c>
      <c r="D16" s="92" t="s">
        <v>84</v>
      </c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4"/>
      <c r="T16" s="95" t="s">
        <v>84</v>
      </c>
      <c r="U16" s="96"/>
      <c r="V16" s="96"/>
      <c r="W16" s="97"/>
      <c r="X16" s="95" t="s">
        <v>85</v>
      </c>
      <c r="Y16" s="98"/>
      <c r="Z16" s="98"/>
      <c r="AA16" s="98"/>
      <c r="AB16" s="98"/>
      <c r="AC16" s="98"/>
      <c r="AD16" s="98"/>
      <c r="AE16" s="99"/>
      <c r="AF16" s="83" t="s">
        <v>86</v>
      </c>
      <c r="AG16" s="83" t="s">
        <v>87</v>
      </c>
      <c r="AH16" s="95" t="s">
        <v>86</v>
      </c>
      <c r="AI16" s="97"/>
      <c r="AJ16" s="95" t="s">
        <v>86</v>
      </c>
      <c r="AK16" s="97"/>
      <c r="AL16" s="83" t="s">
        <v>87</v>
      </c>
      <c r="AM16" s="83" t="s">
        <v>88</v>
      </c>
      <c r="AN16" s="83" t="s">
        <v>89</v>
      </c>
      <c r="AO16" s="83" t="s">
        <v>87</v>
      </c>
      <c r="AP16" s="83" t="s">
        <v>90</v>
      </c>
      <c r="AQ16" s="83" t="s">
        <v>90</v>
      </c>
      <c r="AR16" s="83" t="s">
        <v>90</v>
      </c>
      <c r="AS16" s="83" t="s">
        <v>86</v>
      </c>
      <c r="AT16" s="83" t="s">
        <v>91</v>
      </c>
      <c r="AU16" s="83" t="s">
        <v>90</v>
      </c>
      <c r="AV16" s="83" t="s">
        <v>92</v>
      </c>
      <c r="AW16" s="83" t="s">
        <v>93</v>
      </c>
      <c r="AX16" s="83" t="s">
        <v>88</v>
      </c>
      <c r="AY16" s="83" t="s">
        <v>89</v>
      </c>
      <c r="AZ16" s="83" t="s">
        <v>87</v>
      </c>
      <c r="BA16" s="83" t="s">
        <v>90</v>
      </c>
      <c r="BB16" s="83" t="s">
        <v>90</v>
      </c>
      <c r="BC16" s="83" t="s">
        <v>90</v>
      </c>
      <c r="BD16" s="83" t="s">
        <v>86</v>
      </c>
      <c r="BE16" s="83" t="s">
        <v>91</v>
      </c>
      <c r="BF16" s="83" t="s">
        <v>90</v>
      </c>
      <c r="BG16" s="83" t="s">
        <v>92</v>
      </c>
      <c r="BH16" s="83" t="s">
        <v>93</v>
      </c>
      <c r="BI16" s="83" t="s">
        <v>88</v>
      </c>
      <c r="BJ16" s="83" t="s">
        <v>89</v>
      </c>
      <c r="BK16" s="83" t="s">
        <v>87</v>
      </c>
      <c r="BL16" s="83" t="s">
        <v>90</v>
      </c>
      <c r="BM16" s="83" t="s">
        <v>90</v>
      </c>
      <c r="BN16" s="83" t="s">
        <v>90</v>
      </c>
      <c r="BO16" s="83" t="s">
        <v>86</v>
      </c>
      <c r="BP16" s="83" t="s">
        <v>91</v>
      </c>
      <c r="BQ16" s="83" t="s">
        <v>90</v>
      </c>
      <c r="BR16" s="83" t="s">
        <v>92</v>
      </c>
      <c r="BS16" s="83" t="s">
        <v>93</v>
      </c>
      <c r="BT16" s="83" t="s">
        <v>88</v>
      </c>
      <c r="BU16" s="83" t="s">
        <v>89</v>
      </c>
      <c r="BV16" s="83" t="s">
        <v>87</v>
      </c>
      <c r="BW16" s="83" t="s">
        <v>90</v>
      </c>
      <c r="BX16" s="83" t="s">
        <v>90</v>
      </c>
      <c r="BY16" s="83" t="s">
        <v>90</v>
      </c>
      <c r="BZ16" s="83" t="s">
        <v>86</v>
      </c>
      <c r="CA16" s="83" t="s">
        <v>91</v>
      </c>
      <c r="CB16" s="83" t="s">
        <v>90</v>
      </c>
      <c r="CC16" s="83" t="s">
        <v>92</v>
      </c>
      <c r="CD16" s="83" t="s">
        <v>93</v>
      </c>
      <c r="CE16" s="83" t="s">
        <v>88</v>
      </c>
      <c r="CF16" s="83" t="s">
        <v>89</v>
      </c>
      <c r="CG16" s="83" t="s">
        <v>87</v>
      </c>
      <c r="CH16" s="83" t="s">
        <v>90</v>
      </c>
      <c r="CI16" s="83" t="s">
        <v>90</v>
      </c>
      <c r="CJ16" s="83" t="s">
        <v>90</v>
      </c>
      <c r="CK16" s="83" t="s">
        <v>86</v>
      </c>
      <c r="CL16" s="83" t="s">
        <v>91</v>
      </c>
      <c r="CM16" s="83" t="s">
        <v>90</v>
      </c>
      <c r="CN16" s="83" t="s">
        <v>92</v>
      </c>
      <c r="CO16" s="83" t="s">
        <v>93</v>
      </c>
      <c r="CP16" s="83" t="s">
        <v>88</v>
      </c>
      <c r="CQ16" s="83" t="s">
        <v>87</v>
      </c>
      <c r="CR16" s="83" t="s">
        <v>90</v>
      </c>
      <c r="CS16" s="83" t="s">
        <v>90</v>
      </c>
      <c r="CT16" s="83" t="s">
        <v>86</v>
      </c>
      <c r="CU16" s="83" t="s">
        <v>91</v>
      </c>
      <c r="CV16" s="83" t="s">
        <v>90</v>
      </c>
      <c r="CW16" s="83" t="s">
        <v>92</v>
      </c>
      <c r="CX16" s="83" t="s">
        <v>93</v>
      </c>
      <c r="CY16" s="83"/>
    </row>
    <row r="17" spans="2:104" x14ac:dyDescent="0.15">
      <c r="B17" s="84" t="s">
        <v>163</v>
      </c>
      <c r="C17" s="22" t="s">
        <v>165</v>
      </c>
      <c r="D17" s="23" t="s">
        <v>165</v>
      </c>
      <c r="E17" s="24" t="s">
        <v>165</v>
      </c>
      <c r="F17" s="24" t="s">
        <v>165</v>
      </c>
      <c r="G17" s="24" t="s">
        <v>165</v>
      </c>
      <c r="H17" s="24" t="s">
        <v>165</v>
      </c>
      <c r="I17" s="24" t="s">
        <v>165</v>
      </c>
      <c r="J17" s="24" t="s">
        <v>165</v>
      </c>
      <c r="K17" s="24" t="s">
        <v>165</v>
      </c>
      <c r="L17" s="24" t="s">
        <v>165</v>
      </c>
      <c r="M17" s="24" t="s">
        <v>165</v>
      </c>
      <c r="N17" s="24" t="s">
        <v>165</v>
      </c>
      <c r="O17" s="24" t="s">
        <v>165</v>
      </c>
      <c r="P17" s="24" t="s">
        <v>165</v>
      </c>
      <c r="Q17" s="24" t="s">
        <v>165</v>
      </c>
      <c r="R17" s="25" t="s">
        <v>165</v>
      </c>
      <c r="S17" s="26" t="s">
        <v>165</v>
      </c>
      <c r="T17" s="27" t="s">
        <v>165</v>
      </c>
      <c r="U17" s="28" t="s">
        <v>165</v>
      </c>
      <c r="V17" s="29" t="s">
        <v>165</v>
      </c>
      <c r="W17" s="26" t="s">
        <v>165</v>
      </c>
      <c r="X17" s="27" t="s">
        <v>165</v>
      </c>
      <c r="Y17" s="28" t="s">
        <v>165</v>
      </c>
      <c r="Z17" s="28" t="s">
        <v>165</v>
      </c>
      <c r="AA17" s="28" t="s">
        <v>165</v>
      </c>
      <c r="AB17" s="28" t="s">
        <v>165</v>
      </c>
      <c r="AC17" s="28" t="s">
        <v>165</v>
      </c>
      <c r="AD17" s="29" t="s">
        <v>165</v>
      </c>
      <c r="AE17" s="26" t="s">
        <v>165</v>
      </c>
      <c r="AF17" s="30" t="s">
        <v>165</v>
      </c>
      <c r="AG17" s="26" t="s">
        <v>165</v>
      </c>
      <c r="AH17" s="30" t="s">
        <v>165</v>
      </c>
      <c r="AI17" s="26" t="s">
        <v>165</v>
      </c>
      <c r="AJ17" s="30" t="s">
        <v>165</v>
      </c>
      <c r="AK17" s="29" t="s">
        <v>165</v>
      </c>
      <c r="AL17" s="31" t="s">
        <v>165</v>
      </c>
      <c r="AM17" s="32" t="s">
        <v>165</v>
      </c>
      <c r="AN17" s="33" t="s">
        <v>165</v>
      </c>
      <c r="AO17" s="33" t="s">
        <v>165</v>
      </c>
      <c r="AP17" s="33" t="s">
        <v>165</v>
      </c>
      <c r="AQ17" s="33" t="s">
        <v>165</v>
      </c>
      <c r="AR17" s="33" t="s">
        <v>165</v>
      </c>
      <c r="AS17" s="33" t="s">
        <v>165</v>
      </c>
      <c r="AT17" s="33" t="s">
        <v>165</v>
      </c>
      <c r="AU17" s="33" t="s">
        <v>165</v>
      </c>
      <c r="AV17" s="33" t="s">
        <v>165</v>
      </c>
      <c r="AW17" s="33" t="s">
        <v>165</v>
      </c>
      <c r="AX17" s="32" t="s">
        <v>165</v>
      </c>
      <c r="AY17" s="33" t="s">
        <v>165</v>
      </c>
      <c r="AZ17" s="33" t="s">
        <v>165</v>
      </c>
      <c r="BA17" s="33" t="s">
        <v>165</v>
      </c>
      <c r="BB17" s="33" t="s">
        <v>165</v>
      </c>
      <c r="BC17" s="33" t="s">
        <v>165</v>
      </c>
      <c r="BD17" s="33" t="s">
        <v>165</v>
      </c>
      <c r="BE17" s="33" t="s">
        <v>165</v>
      </c>
      <c r="BF17" s="33" t="s">
        <v>165</v>
      </c>
      <c r="BG17" s="33" t="s">
        <v>165</v>
      </c>
      <c r="BH17" s="33" t="s">
        <v>165</v>
      </c>
      <c r="BI17" s="32" t="s">
        <v>165</v>
      </c>
      <c r="BJ17" s="33" t="s">
        <v>165</v>
      </c>
      <c r="BK17" s="33" t="s">
        <v>165</v>
      </c>
      <c r="BL17" s="33" t="s">
        <v>165</v>
      </c>
      <c r="BM17" s="33" t="s">
        <v>165</v>
      </c>
      <c r="BN17" s="33" t="s">
        <v>165</v>
      </c>
      <c r="BO17" s="33" t="s">
        <v>165</v>
      </c>
      <c r="BP17" s="33" t="s">
        <v>165</v>
      </c>
      <c r="BQ17" s="33" t="s">
        <v>165</v>
      </c>
      <c r="BR17" s="33" t="s">
        <v>165</v>
      </c>
      <c r="BS17" s="33" t="s">
        <v>165</v>
      </c>
      <c r="BT17" s="32" t="s">
        <v>165</v>
      </c>
      <c r="BU17" s="33" t="s">
        <v>165</v>
      </c>
      <c r="BV17" s="33" t="s">
        <v>165</v>
      </c>
      <c r="BW17" s="33" t="s">
        <v>165</v>
      </c>
      <c r="BX17" s="33" t="s">
        <v>165</v>
      </c>
      <c r="BY17" s="33" t="s">
        <v>165</v>
      </c>
      <c r="BZ17" s="33" t="s">
        <v>165</v>
      </c>
      <c r="CA17" s="33" t="s">
        <v>165</v>
      </c>
      <c r="CB17" s="33" t="s">
        <v>165</v>
      </c>
      <c r="CC17" s="33" t="s">
        <v>165</v>
      </c>
      <c r="CD17" s="33" t="s">
        <v>165</v>
      </c>
      <c r="CE17" s="32" t="s">
        <v>165</v>
      </c>
      <c r="CF17" s="33" t="s">
        <v>165</v>
      </c>
      <c r="CG17" s="33" t="s">
        <v>165</v>
      </c>
      <c r="CH17" s="33" t="s">
        <v>165</v>
      </c>
      <c r="CI17" s="33" t="s">
        <v>165</v>
      </c>
      <c r="CJ17" s="33" t="s">
        <v>165</v>
      </c>
      <c r="CK17" s="33" t="s">
        <v>165</v>
      </c>
      <c r="CL17" s="33" t="s">
        <v>165</v>
      </c>
      <c r="CM17" s="33" t="s">
        <v>165</v>
      </c>
      <c r="CN17" s="33" t="s">
        <v>165</v>
      </c>
      <c r="CO17" s="33" t="s">
        <v>165</v>
      </c>
      <c r="CP17" s="32" t="s">
        <v>165</v>
      </c>
      <c r="CQ17" s="33" t="s">
        <v>165</v>
      </c>
      <c r="CR17" s="33" t="s">
        <v>165</v>
      </c>
      <c r="CS17" s="33" t="s">
        <v>165</v>
      </c>
      <c r="CT17" s="33" t="s">
        <v>165</v>
      </c>
      <c r="CU17" s="33" t="s">
        <v>165</v>
      </c>
      <c r="CV17" s="33" t="s">
        <v>165</v>
      </c>
      <c r="CW17" s="33" t="s">
        <v>165</v>
      </c>
      <c r="CX17" s="33" t="s">
        <v>165</v>
      </c>
      <c r="CY17" s="33" t="s">
        <v>165</v>
      </c>
    </row>
    <row r="18" spans="2:104" x14ac:dyDescent="0.15">
      <c r="CZ18" s="35" t="s">
        <v>164</v>
      </c>
    </row>
  </sheetData>
  <sheetProtection algorithmName="SHA-512" hashValue="X0KA8Ha+gBxMl2RUcNst6HK9Ir+zlPZyHaJzqANSobeS2EGwHbI4691oUOFwkjbJBt65LoIx4KlWl7kJ+jNBkw==" saltValue="2VlM8ZQkPKW7aSkSE6dGGw==" spinCount="100000" sheet="1" objects="1" scenarios="1"/>
  <mergeCells count="37">
    <mergeCell ref="B4:E6"/>
    <mergeCell ref="B7:E8"/>
    <mergeCell ref="O12:T12"/>
    <mergeCell ref="B14:B15"/>
    <mergeCell ref="C14:C15"/>
    <mergeCell ref="D14:S14"/>
    <mergeCell ref="T14:T15"/>
    <mergeCell ref="AX14:AZ14"/>
    <mergeCell ref="BI14:BK14"/>
    <mergeCell ref="BL14:BS14"/>
    <mergeCell ref="U14:W14"/>
    <mergeCell ref="X14:AE14"/>
    <mergeCell ref="AF14:AG14"/>
    <mergeCell ref="AH14:AI14"/>
    <mergeCell ref="AJ14:AK14"/>
    <mergeCell ref="AL14:AL15"/>
    <mergeCell ref="AM13:AW13"/>
    <mergeCell ref="CY14:CY15"/>
    <mergeCell ref="D16:S16"/>
    <mergeCell ref="T16:W16"/>
    <mergeCell ref="X16:AE16"/>
    <mergeCell ref="AH16:AI16"/>
    <mergeCell ref="AJ16:AK16"/>
    <mergeCell ref="BA14:BH14"/>
    <mergeCell ref="BT14:BV14"/>
    <mergeCell ref="BW14:CD14"/>
    <mergeCell ref="CE14:CG14"/>
    <mergeCell ref="CH14:CO14"/>
    <mergeCell ref="CP14:CQ14"/>
    <mergeCell ref="CR14:CX14"/>
    <mergeCell ref="AM14:AO14"/>
    <mergeCell ref="AP14:AW14"/>
    <mergeCell ref="AX13:BH13"/>
    <mergeCell ref="BI13:BS13"/>
    <mergeCell ref="BT13:CD13"/>
    <mergeCell ref="CE13:CO13"/>
    <mergeCell ref="CP13:CX13"/>
  </mergeCells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rrorCheckButtonClick">
                <anchor moveWithCells="1">
                  <from>
                    <xdr:col>1</xdr:col>
                    <xdr:colOff>238125</xdr:colOff>
                    <xdr:row>9</xdr:row>
                    <xdr:rowOff>19050</xdr:rowOff>
                  </from>
                  <to>
                    <xdr:col>4</xdr:col>
                    <xdr:colOff>238125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3E1C29E2-E42D-4683-A494-B2282531B28F}">
          <x14:formula1>
            <xm:f>master!$C$4:$C$9</xm:f>
          </x14:formula1>
          <xm:sqref>AH17:AH1048576</xm:sqref>
        </x14:dataValidation>
        <x14:dataValidation type="list" allowBlank="1" showInputMessage="1" showErrorMessage="1" xr:uid="{581266E5-37EE-4DD7-A0C3-70E4B0B6E0E5}">
          <x14:formula1>
            <xm:f>master!$D$4:$D$6</xm:f>
          </x14:formula1>
          <xm:sqref>AI17:AI1048576</xm:sqref>
        </x14:dataValidation>
        <x14:dataValidation type="list" allowBlank="1" showInputMessage="1" showErrorMessage="1" xr:uid="{8E57F103-BE63-4DDF-853E-BEAD3848159A}">
          <x14:formula1>
            <xm:f>master!$E$4:$E$9</xm:f>
          </x14:formula1>
          <xm:sqref>AJ17:AJ1048576</xm:sqref>
        </x14:dataValidation>
        <x14:dataValidation type="list" allowBlank="1" showInputMessage="1" showErrorMessage="1" xr:uid="{1D9770AA-AD87-46B3-9F73-92F89C997950}">
          <x14:formula1>
            <xm:f>master!$F$4:$F$7</xm:f>
          </x14:formula1>
          <xm:sqref>AK17:AK1048576</xm:sqref>
        </x14:dataValidation>
        <x14:dataValidation type="list" allowBlank="1" showInputMessage="1" showErrorMessage="1" xr:uid="{A8C215EA-EDB9-4124-BAB6-03773DC62EB1}">
          <x14:formula1>
            <xm:f>master!$G$4:$G$5</xm:f>
          </x14:formula1>
          <xm:sqref>AX17:AY1048576 CP17:CP1048576 AM17:AN1048576 CE17:CF1048576 BT17:BU1048576 BI17:BJ1048576</xm:sqref>
        </x14:dataValidation>
        <x14:dataValidation type="list" allowBlank="1" showInputMessage="1" showErrorMessage="1" xr:uid="{F63679F6-A3B7-439D-991D-860459D1C78D}">
          <x14:formula1>
            <xm:f>master!$H$4:$H$10</xm:f>
          </x14:formula1>
          <xm:sqref>BB17:BB1048576 CR17:CR1048576 AQ17:AQ1048576 CI17:CI1048576 BX17:BX1048576 BM17:BM1048576</xm:sqref>
        </x14:dataValidation>
        <x14:dataValidation type="list" allowBlank="1" showInputMessage="1" showErrorMessage="1" xr:uid="{AE5A383B-3665-4DC3-8A4F-2EDAF74FB57B}">
          <x14:formula1>
            <xm:f>master!$I$4:$I$8</xm:f>
          </x14:formula1>
          <xm:sqref>BC17:BC1048576 CS17:CS1048576 AR17:AR1048576 CJ17:CJ1048576 BY17:BY1048576 BN17:BN1048576</xm:sqref>
        </x14:dataValidation>
        <x14:dataValidation type="list" allowBlank="1" showInputMessage="1" showErrorMessage="1" xr:uid="{0EBC62AF-4FEB-4C15-B3C3-1F719EF3FA8C}">
          <x14:formula1>
            <xm:f>master!$J$4:$J$9</xm:f>
          </x14:formula1>
          <xm:sqref>CT17:CT1048576 BD17:BD1048576 AS17:AS1048576 CK17:CK1048576 BZ17:BZ1048576 BO17:BO1048576</xm:sqref>
        </x14:dataValidation>
        <x14:dataValidation type="list" allowBlank="1" showInputMessage="1" showErrorMessage="1" xr:uid="{22D5C04A-38AF-4D5D-92C9-BC1067B519CE}">
          <x14:formula1>
            <xm:f>master!$K$4:$K$6</xm:f>
          </x14:formula1>
          <xm:sqref>CW17:CW1048576 BG17:BG1048576 AV17:AV1048576 CN17:CN1048576 CC17:CC1048576 BR17:BR1048576</xm:sqref>
        </x14:dataValidation>
        <x14:dataValidation type="list" allowBlank="1" showInputMessage="1" showErrorMessage="1" xr:uid="{F2F6FE5E-3D69-46EF-B991-4885F0EABC89}">
          <x14:formula1>
            <xm:f>master!$B$4:$B$16</xm:f>
          </x14:formula1>
          <xm:sqref>AF17:AF1048576 CH15:CH1048576 BW15:BW1048576 BL15:BL1048576 BA17:BA1048576 AP17:AP1048576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D6365-BB2F-4662-AC47-22D7528B79F9}">
  <sheetPr codeName="Sheet3"/>
  <dimension ref="A1:G4"/>
  <sheetViews>
    <sheetView workbookViewId="0">
      <selection activeCell="F34" sqref="F34"/>
    </sheetView>
  </sheetViews>
  <sheetFormatPr defaultRowHeight="14.25" x14ac:dyDescent="0.15"/>
  <cols>
    <col min="1" max="1" width="4.625" style="15" customWidth="1"/>
    <col min="2" max="2" width="11.375" style="15" bestFit="1" customWidth="1"/>
    <col min="3" max="3" width="11.375" style="15" customWidth="1"/>
    <col min="4" max="4" width="16.625" style="15" customWidth="1"/>
    <col min="5" max="5" width="25.625" style="15" customWidth="1"/>
    <col min="6" max="6" width="13.625" style="15" customWidth="1"/>
    <col min="7" max="7" width="114.25" style="15" customWidth="1"/>
    <col min="8" max="16384" width="9" style="15"/>
  </cols>
  <sheetData>
    <row r="1" spans="1:7" x14ac:dyDescent="0.15">
      <c r="A1" s="16" t="s">
        <v>65</v>
      </c>
    </row>
    <row r="2" spans="1:7" s="19" customFormat="1" x14ac:dyDescent="0.15">
      <c r="A2" s="18"/>
      <c r="B2" s="19" t="s">
        <v>149</v>
      </c>
    </row>
    <row r="3" spans="1:7" x14ac:dyDescent="0.15">
      <c r="B3" s="20" t="s">
        <v>148</v>
      </c>
      <c r="C3" s="20" t="s">
        <v>150</v>
      </c>
      <c r="D3" s="20" t="s">
        <v>151</v>
      </c>
      <c r="E3" s="20" t="s">
        <v>66</v>
      </c>
      <c r="F3" s="20" t="s">
        <v>152</v>
      </c>
      <c r="G3" s="20" t="s">
        <v>67</v>
      </c>
    </row>
    <row r="4" spans="1:7" x14ac:dyDescent="0.15">
      <c r="B4" s="21"/>
      <c r="C4" s="21"/>
      <c r="D4" s="21"/>
      <c r="E4" s="21"/>
      <c r="F4" s="21"/>
      <c r="G4" s="21"/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ABE40-C772-4273-A861-67AAE42920B3}">
  <sheetPr codeName="Sheet4"/>
  <dimension ref="A1:K17"/>
  <sheetViews>
    <sheetView workbookViewId="0">
      <selection activeCell="C19" sqref="C19"/>
    </sheetView>
  </sheetViews>
  <sheetFormatPr defaultRowHeight="14.25" x14ac:dyDescent="0.15"/>
  <cols>
    <col min="1" max="1" width="2.5" style="15" customWidth="1"/>
    <col min="2" max="2" width="25" style="15" bestFit="1" customWidth="1"/>
    <col min="3" max="3" width="20.75" style="15" bestFit="1" customWidth="1"/>
    <col min="4" max="4" width="19" style="15" bestFit="1" customWidth="1"/>
    <col min="5" max="5" width="20.75" style="15" bestFit="1" customWidth="1"/>
    <col min="6" max="6" width="19" style="15" bestFit="1" customWidth="1"/>
    <col min="7" max="7" width="9" style="15"/>
    <col min="8" max="8" width="15" style="15" bestFit="1" customWidth="1"/>
    <col min="9" max="9" width="16.75" style="15" bestFit="1" customWidth="1"/>
    <col min="10" max="10" width="15" style="15" bestFit="1" customWidth="1"/>
    <col min="11" max="11" width="18.625" style="15" bestFit="1" customWidth="1"/>
    <col min="12" max="16384" width="9" style="15"/>
  </cols>
  <sheetData>
    <row r="1" spans="1:11" x14ac:dyDescent="0.15">
      <c r="A1" s="15" t="s">
        <v>94</v>
      </c>
    </row>
    <row r="3" spans="1:11" x14ac:dyDescent="0.15">
      <c r="B3" s="15" t="s">
        <v>129</v>
      </c>
      <c r="C3" s="15" t="s">
        <v>112</v>
      </c>
      <c r="D3" s="15" t="s">
        <v>119</v>
      </c>
      <c r="E3" s="15" t="s">
        <v>122</v>
      </c>
      <c r="F3" s="15" t="s">
        <v>123</v>
      </c>
      <c r="G3" s="15" t="s">
        <v>127</v>
      </c>
      <c r="H3" s="15" t="s">
        <v>130</v>
      </c>
      <c r="I3" s="15" t="s">
        <v>137</v>
      </c>
      <c r="J3" s="15" t="s">
        <v>140</v>
      </c>
      <c r="K3" s="15" t="s">
        <v>145</v>
      </c>
    </row>
    <row r="5" spans="1:11" x14ac:dyDescent="0.15">
      <c r="B5" s="17" t="s">
        <v>101</v>
      </c>
      <c r="C5" s="17" t="s">
        <v>113</v>
      </c>
      <c r="D5" s="15" t="s">
        <v>120</v>
      </c>
      <c r="E5" s="17" t="s">
        <v>114</v>
      </c>
      <c r="F5" s="15" t="s">
        <v>124</v>
      </c>
      <c r="G5" s="15" t="s">
        <v>128</v>
      </c>
      <c r="H5" s="15" t="s">
        <v>131</v>
      </c>
      <c r="I5" s="15" t="s">
        <v>131</v>
      </c>
      <c r="J5" s="15" t="s">
        <v>131</v>
      </c>
      <c r="K5" s="15" t="s">
        <v>146</v>
      </c>
    </row>
    <row r="6" spans="1:11" x14ac:dyDescent="0.15">
      <c r="B6" s="17" t="s">
        <v>102</v>
      </c>
      <c r="C6" s="17" t="s">
        <v>114</v>
      </c>
      <c r="D6" s="15" t="s">
        <v>121</v>
      </c>
      <c r="E6" s="17" t="s">
        <v>115</v>
      </c>
      <c r="F6" s="15" t="s">
        <v>125</v>
      </c>
      <c r="H6" s="15" t="s">
        <v>132</v>
      </c>
      <c r="I6" s="15" t="s">
        <v>138</v>
      </c>
      <c r="J6" s="15" t="s">
        <v>141</v>
      </c>
      <c r="K6" s="15" t="s">
        <v>147</v>
      </c>
    </row>
    <row r="7" spans="1:11" x14ac:dyDescent="0.15">
      <c r="B7" s="17" t="s">
        <v>103</v>
      </c>
      <c r="C7" s="17" t="s">
        <v>115</v>
      </c>
      <c r="E7" s="17" t="s">
        <v>116</v>
      </c>
      <c r="F7" s="15" t="s">
        <v>126</v>
      </c>
      <c r="H7" s="15" t="s">
        <v>133</v>
      </c>
      <c r="I7" s="15" t="s">
        <v>139</v>
      </c>
      <c r="J7" s="15" t="s">
        <v>142</v>
      </c>
    </row>
    <row r="8" spans="1:11" x14ac:dyDescent="0.15">
      <c r="B8" s="17" t="s">
        <v>104</v>
      </c>
      <c r="C8" s="17" t="s">
        <v>116</v>
      </c>
      <c r="E8" s="17" t="s">
        <v>117</v>
      </c>
      <c r="H8" s="15" t="s">
        <v>134</v>
      </c>
      <c r="I8" s="15" t="s">
        <v>136</v>
      </c>
      <c r="J8" s="15" t="s">
        <v>143</v>
      </c>
    </row>
    <row r="9" spans="1:11" x14ac:dyDescent="0.15">
      <c r="B9" s="17" t="s">
        <v>105</v>
      </c>
      <c r="C9" s="17" t="s">
        <v>117</v>
      </c>
      <c r="E9" s="17" t="s">
        <v>118</v>
      </c>
      <c r="H9" s="15" t="s">
        <v>135</v>
      </c>
      <c r="J9" s="15" t="s">
        <v>144</v>
      </c>
    </row>
    <row r="10" spans="1:11" x14ac:dyDescent="0.15">
      <c r="B10" s="17" t="s">
        <v>106</v>
      </c>
      <c r="C10" s="17"/>
      <c r="E10" s="17"/>
      <c r="H10" s="15" t="s">
        <v>136</v>
      </c>
    </row>
    <row r="11" spans="1:11" x14ac:dyDescent="0.15">
      <c r="B11" s="17" t="s">
        <v>107</v>
      </c>
    </row>
    <row r="12" spans="1:11" x14ac:dyDescent="0.15">
      <c r="B12" s="17" t="s">
        <v>108</v>
      </c>
    </row>
    <row r="13" spans="1:11" x14ac:dyDescent="0.15">
      <c r="B13" s="17" t="s">
        <v>109</v>
      </c>
    </row>
    <row r="14" spans="1:11" x14ac:dyDescent="0.15">
      <c r="B14" s="17" t="s">
        <v>110</v>
      </c>
    </row>
    <row r="15" spans="1:11" x14ac:dyDescent="0.15">
      <c r="B15" s="17" t="s">
        <v>111</v>
      </c>
    </row>
    <row r="16" spans="1:11" x14ac:dyDescent="0.15">
      <c r="B16" s="17" t="s">
        <v>100</v>
      </c>
    </row>
    <row r="17" spans="2:2" x14ac:dyDescent="0.15">
      <c r="B17" s="1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警告</vt:lpstr>
      <vt:lpstr>人材育成計画</vt:lpstr>
      <vt:lpstr>チェック結果</vt:lpstr>
      <vt:lpstr>master</vt:lpstr>
      <vt:lpstr>警告!Print_Area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endou-katsuyoshi</cp:lastModifiedBy>
  <dcterms:created xsi:type="dcterms:W3CDTF">2014-10-21T06:14:28Z</dcterms:created>
  <dcterms:modified xsi:type="dcterms:W3CDTF">2019-02-03T12:06:35Z</dcterms:modified>
</cp:coreProperties>
</file>