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1288842\Desktop\パナソニック-SVN\cdrom\Lysithea\Career\Sheet\exceltemplate\"/>
    </mc:Choice>
  </mc:AlternateContent>
  <xr:revisionPtr revIDLastSave="0" documentId="13_ncr:1_{1A2564A0-6A01-4E71-8CE1-0A39FDB2A2DC}" xr6:coauthVersionLast="40" xr6:coauthVersionMax="40" xr10:uidLastSave="{00000000-0000-0000-0000-000000000000}"/>
  <workbookProtection workbookPassword="B6FF" lockStructure="1"/>
  <bookViews>
    <workbookView xWindow="0" yWindow="0" windowWidth="28800" windowHeight="12180" xr2:uid="{00000000-000D-0000-FFFF-FFFF00000000}"/>
  </bookViews>
  <sheets>
    <sheet name="警告" sheetId="18" r:id="rId1"/>
    <sheet name="人材育成計画" sheetId="20" state="hidden" r:id="rId2"/>
    <sheet name="チェック結果" sheetId="19" state="hidden" r:id="rId3"/>
    <sheet name="master" sheetId="21" state="hidden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8" i="20" l="1"/>
  <c r="U7" i="20"/>
  <c r="U6" i="20"/>
  <c r="U5" i="20"/>
  <c r="U11" i="20" l="1"/>
  <c r="U10" i="20"/>
  <c r="U9" i="20"/>
  <c r="U1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育成企画課・笹田誠</author>
  </authors>
  <commentList>
    <comment ref="T14" authorId="0" shapeId="0" xr:uid="{8A4D292E-CEE6-4F85-8D78-7E0AEB5685EE}">
      <text>
        <r>
          <rPr>
            <b/>
            <sz val="9"/>
            <color indexed="81"/>
            <rFont val="ＭＳ Ｐゴシック"/>
            <family val="3"/>
            <charset val="128"/>
          </rPr>
          <t>入社して何年経過しているかの区分です。
ただし、中途採用の社員は年次によらず「11年目以上」に区分されます。
1～5年目：新卒入社で1～5年目の社員
6～10年目：新卒入社で6～10年目の社員
11年目以上：新卒入社で11年目以上、または中途採用の社員
※表示内容に誤りがある場合は調達職能人事にご連絡下さい。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L14" authorId="0" shapeId="0" xr:uid="{AC261A9B-BBE1-4AB6-ABC5-F0AB9661A2C9}">
      <text>
        <r>
          <rPr>
            <b/>
            <sz val="9"/>
            <color indexed="81"/>
            <rFont val="ＭＳ Ｐゴシック"/>
            <family val="3"/>
            <charset val="128"/>
          </rPr>
          <t>現在担当している調達業務を入力して下さい。
（例：半導体の契約業務）: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Y14" authorId="0" shapeId="0" xr:uid="{DEFEF01C-CBD6-4426-A7A1-CC26ED301230}">
      <text>
        <r>
          <rPr>
            <b/>
            <sz val="9"/>
            <color indexed="81"/>
            <rFont val="ＭＳ Ｐゴシック"/>
            <family val="3"/>
            <charset val="128"/>
          </rPr>
          <t>備考や引継ぎ事項があれば入力してください。
※異動計画の職務や事業場で「その他」を選択した場合は、
内容をこの欄に入力してください。</t>
        </r>
      </text>
    </comment>
    <comment ref="U15" authorId="0" shapeId="0" xr:uid="{66C4CE9E-AAD6-42EC-98A6-4DB787CD6FFD}">
      <text>
        <r>
          <rPr>
            <b/>
            <sz val="9"/>
            <color indexed="81"/>
            <rFont val="ＭＳ Ｐゴシック"/>
            <family val="3"/>
            <charset val="128"/>
          </rPr>
          <t>現在の業務を担当しはじめた時期です。
※表示内容に誤りがある場合は、
　　調達職能人事までご連絡下さい。</t>
        </r>
      </text>
    </comment>
    <comment ref="V15" authorId="0" shapeId="0" xr:uid="{1155BF49-2D39-4089-B6BA-0C4E633420E4}">
      <text>
        <r>
          <rPr>
            <b/>
            <sz val="9"/>
            <color indexed="81"/>
            <rFont val="ＭＳ Ｐゴシック"/>
            <family val="3"/>
            <charset val="128"/>
          </rPr>
          <t>現在の業務を担当してから経過した年数です(4/1時点)
※表示内容に誤りがある場合は、
　　調達職能人事までご連絡下さい。</t>
        </r>
      </text>
    </comment>
    <comment ref="AF15" authorId="0" shapeId="0" xr:uid="{A780285A-25E9-4E7A-826E-0B0CCC2DD175}">
      <text>
        <r>
          <rPr>
            <b/>
            <sz val="9"/>
            <color indexed="81"/>
            <rFont val="ＭＳ Ｐゴシック"/>
            <family val="3"/>
            <charset val="128"/>
          </rPr>
          <t>今年度、人事異動があった場合、異動した月を入力してください。
※計画入力時には入力不要です。</t>
        </r>
      </text>
    </comment>
    <comment ref="AG15" authorId="0" shapeId="0" xr:uid="{407EA550-B293-40CD-8389-079A82421675}">
      <text>
        <r>
          <rPr>
            <b/>
            <sz val="9"/>
            <color indexed="81"/>
            <rFont val="ＭＳ Ｐゴシック"/>
            <family val="3"/>
            <charset val="128"/>
          </rPr>
          <t>今年度、人事異動があった場合、異動先の組織名称を入力して下さい。
組織名称は可能な限り正確に入力をお願いします。
※計画入力時には入力不要です。</t>
        </r>
      </text>
    </comment>
    <comment ref="AH15" authorId="0" shapeId="0" xr:uid="{9476FDE9-D3E8-4E62-BCE2-2D80863D79DD}">
      <text>
        <r>
          <rPr>
            <b/>
            <sz val="9"/>
            <color indexed="81"/>
            <rFont val="ＭＳ Ｐゴシック"/>
            <family val="3"/>
            <charset val="128"/>
          </rPr>
          <t>バイヤー認定の取得を計画している年度を選択してください。</t>
        </r>
      </text>
    </comment>
    <comment ref="AI15" authorId="0" shapeId="0" xr:uid="{564FAAAA-1837-45D9-9D51-622473C7C6F5}">
      <text>
        <r>
          <rPr>
            <b/>
            <sz val="9"/>
            <color indexed="81"/>
            <rFont val="ＭＳ Ｐゴシック"/>
            <family val="3"/>
            <charset val="128"/>
          </rPr>
          <t>取得を計画しているバイヤー認定級を選択してください。</t>
        </r>
      </text>
    </comment>
    <comment ref="AJ15" authorId="0" shapeId="0" xr:uid="{577FD00D-65C1-4920-B55D-5F01413A87DA}">
      <text>
        <r>
          <rPr>
            <b/>
            <sz val="9"/>
            <color indexed="81"/>
            <rFont val="ＭＳ Ｐゴシック"/>
            <family val="3"/>
            <charset val="128"/>
          </rPr>
          <t>登用を計画している年度を選択してください。</t>
        </r>
      </text>
    </comment>
    <comment ref="AK15" authorId="0" shapeId="0" xr:uid="{50125704-4725-429B-AD60-18A64CB0D724}">
      <text>
        <r>
          <rPr>
            <b/>
            <sz val="9"/>
            <color indexed="81"/>
            <rFont val="ＭＳ Ｐゴシック"/>
            <family val="3"/>
            <charset val="128"/>
          </rPr>
          <t>登用を計画している等級群を選択してください。</t>
        </r>
      </text>
    </comment>
    <comment ref="AM15" authorId="0" shapeId="0" xr:uid="{CBB70D4A-EF22-4CA9-9301-E51C50DBEEEC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AN15" authorId="0" shapeId="0" xr:uid="{617D9731-CDB1-4B94-A2F7-04B4F8921349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○
退職予定なし　→　空白</t>
        </r>
      </text>
    </comment>
    <comment ref="AO15" authorId="0" shapeId="0" xr:uid="{D5E0B6E4-A5F4-4CD7-BEA0-AE6E77405028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AP15" authorId="0" shapeId="0" xr:uid="{492FF12E-3B70-4CB4-9016-FC21C94A38B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AQ15" authorId="0" shapeId="0" xr:uid="{58BE58AE-3DB5-4871-B9F0-BE26C3EF3A4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AR15" authorId="0" shapeId="0" xr:uid="{C58A86F4-23F4-41DD-BC17-E7C2799E04B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AS15" authorId="0" shapeId="0" xr:uid="{AC6AA502-E881-48C3-A020-D2465688BAE1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AT15" authorId="0" shapeId="0" xr:uid="{975227CA-21B0-42B3-B09C-C70D8B580ED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AU15" authorId="0" shapeId="0" xr:uid="{E629E3C0-BB96-4333-AA56-5672EDE9D9E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AV15" authorId="0" shapeId="0" xr:uid="{B28DAC55-71B4-4DA7-8D97-44251D9E7631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W15" authorId="0" shapeId="0" xr:uid="{CCFD1DEA-7561-4263-BD6B-35B3742B364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X15" authorId="0" shapeId="0" xr:uid="{9E57032D-1F4D-45A9-9F50-7E278C02545F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AY15" authorId="0" shapeId="0" xr:uid="{60FF4C0D-D813-4234-816C-EA293EF89519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○
退職予定なし　→　空白</t>
        </r>
      </text>
    </comment>
    <comment ref="AZ15" authorId="0" shapeId="0" xr:uid="{B6C8357D-13BC-4E6D-8E28-19A2AA097D1F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A15" authorId="0" shapeId="0" xr:uid="{B26B1E51-3176-4B78-B2F3-4752D0B27E6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B15" authorId="0" shapeId="0" xr:uid="{8A000C8A-6595-4C2A-AE64-57215DF7EDC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C15" authorId="0" shapeId="0" xr:uid="{3D54BBA8-498E-4041-A014-415DFA3AF44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D15" authorId="0" shapeId="0" xr:uid="{569BD4D9-E1E0-401D-8331-6AEB9F29C02E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BE15" authorId="0" shapeId="0" xr:uid="{07157136-CB9C-45BE-8BAC-861C1FDA89B6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BF15" authorId="0" shapeId="0" xr:uid="{34BE3797-09F6-467B-A049-12C286362C5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BG15" authorId="0" shapeId="0" xr:uid="{5A66B779-6FBF-46E7-B8A5-BCE3D0DAA09F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H15" authorId="0" shapeId="0" xr:uid="{2E33982E-0B84-406F-8BBA-EB9CFC23F134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I15" authorId="0" shapeId="0" xr:uid="{00C5FECD-3887-4442-9E4E-9D606D0B4871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BJ15" authorId="0" shapeId="0" xr:uid="{4AF78183-18C2-4486-9A3D-3D750B3245C2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○
退職予定なし　→　空白</t>
        </r>
      </text>
    </comment>
    <comment ref="BK15" authorId="0" shapeId="0" xr:uid="{E5B1E211-5A5E-4726-B491-B7EC6D5BA393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L15" authorId="0" shapeId="0" xr:uid="{35FD39CA-07AC-4151-BE03-95FDD7369A9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M15" authorId="0" shapeId="0" xr:uid="{1D776668-8DBE-4A76-BD69-4692F0E5F13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N15" authorId="0" shapeId="0" xr:uid="{E7B6AE1A-C9A3-45CC-A920-6C939DC35AAD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O15" authorId="0" shapeId="0" xr:uid="{177C5748-1EB7-43AD-BD4E-CF6D9B8988F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BP15" authorId="0" shapeId="0" xr:uid="{2CFEC674-616A-439F-92B9-EEE6C64DE8E0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BQ15" authorId="0" shapeId="0" xr:uid="{0FF2187D-97C1-437C-8A0C-10B29B5939CD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BR15" authorId="0" shapeId="0" xr:uid="{0D04B027-8974-4E87-99D9-22DF2A0964F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S15" authorId="0" shapeId="0" xr:uid="{CC8FE805-000C-4F98-A034-EF7E96DFADB5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T15" authorId="0" shapeId="0" xr:uid="{77727D6B-9664-41EC-9B01-82364906CB08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BU15" authorId="0" shapeId="0" xr:uid="{8B150201-FBE7-4988-BA9C-F79D3274964D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○
退職予定なし　→　空白</t>
        </r>
      </text>
    </comment>
    <comment ref="BV15" authorId="0" shapeId="0" xr:uid="{D2E0687E-A548-420A-AB9C-8A19A1196A71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W15" authorId="0" shapeId="0" xr:uid="{B35662D0-27B2-42D8-9BB2-E4987CC92F4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X15" authorId="0" shapeId="0" xr:uid="{B4403617-74D4-4F30-A66F-3211377E062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Y15" authorId="0" shapeId="0" xr:uid="{4C9BC471-75A3-4EE5-A240-EC955B05613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Z15" authorId="0" shapeId="0" xr:uid="{F9DB5B81-6207-4174-AF2B-DEFA8152220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A15" authorId="0" shapeId="0" xr:uid="{F3A6AF45-5CFD-41B0-AB21-C1295AB28E5E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B15" authorId="0" shapeId="0" xr:uid="{F727E00C-66FF-4F2F-B2A1-2F392CEF16B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C15" authorId="0" shapeId="0" xr:uid="{19DC0A63-0AF3-4C41-A905-28891D69864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D15" authorId="0" shapeId="0" xr:uid="{C9499BFC-1A20-4099-A46D-D77413D4E155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E15" authorId="0" shapeId="0" xr:uid="{C6EBF9EF-EE53-4603-AFD6-DA5030A74BF2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CF15" authorId="0" shapeId="0" xr:uid="{09E728F7-4573-4584-80AC-219C0D5408F5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○
退職予定なし　→　空白</t>
        </r>
      </text>
    </comment>
    <comment ref="CG15" authorId="0" shapeId="0" xr:uid="{DC55B5A6-7E5F-49C8-A46F-6EDC63BF3140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CH15" authorId="0" shapeId="0" xr:uid="{DF0DE36E-BB8A-482A-A03A-BBD77F352072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CI15" authorId="0" shapeId="0" xr:uid="{4F9A48A3-857E-489A-964D-126F1493C3F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CJ15" authorId="0" shapeId="0" xr:uid="{3B96EDA2-9BC0-41C8-B6A4-7548C406C3F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CK15" authorId="0" shapeId="0" xr:uid="{36C049CC-44EE-4CF2-B804-683F0438C044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L15" authorId="0" shapeId="0" xr:uid="{6B363527-356C-4F30-9157-04D9F15968E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M15" authorId="0" shapeId="0" xr:uid="{A8EDC078-D46F-4D57-AC8B-38AAC7C320D6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N15" authorId="0" shapeId="0" xr:uid="{C989E429-4CC6-47DA-B69F-364BA83C37A3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O15" authorId="0" shapeId="0" xr:uid="{097C75BB-F665-402D-8124-757AC0619BEC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P15" authorId="0" shapeId="0" xr:uid="{03B1B1F6-8AF3-4D26-8162-D3E4C0CFB7E5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○
異動計画なし　→　空白</t>
        </r>
      </text>
    </comment>
    <comment ref="CQ15" authorId="0" shapeId="0" xr:uid="{6119241A-1772-4B4C-93AB-6E8EEBC44405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CR15" authorId="0" shapeId="0" xr:uid="{9B41DD44-4A2E-4BFC-AB86-4E122760779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CS15" authorId="0" shapeId="0" xr:uid="{ECAF8C93-4C39-4872-A34F-91A8626B3F3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CT15" authorId="0" shapeId="0" xr:uid="{DC673A4D-5F4D-4D3E-BCFE-158BD73FF872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U15" authorId="0" shapeId="0" xr:uid="{6CA2BE20-F5E4-45C0-AB02-D2BCB989013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V15" authorId="0" shapeId="0" xr:uid="{ED4CEE31-6859-41C7-B6B0-66649AC8FF76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W15" authorId="0" shapeId="0" xr:uid="{0BE3025F-1043-412D-AA01-EED12AC4DCE0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X15" authorId="0" shapeId="0" xr:uid="{03655ECC-201B-4D0F-A04E-BB5A2F0EB34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<sst xmlns="http://schemas.openxmlformats.org/spreadsheetml/2006/main" count="329" uniqueCount="160">
  <si>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</si>
  <si>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</si>
  <si>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</si>
  <si>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</si>
  <si>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</si>
  <si>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</si>
  <si>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</si>
  <si>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</si>
  <si>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</si>
  <si>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</si>
  <si>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</si>
  <si>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</si>
  <si>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</si>
  <si>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</si>
  <si>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</si>
  <si>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</si>
  <si>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</si>
  <si>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</si>
  <si>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</si>
  <si>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</si>
  <si>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</si>
  <si>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</si>
  <si>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</si>
  <si>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</si>
  <si>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</si>
  <si>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</si>
  <si>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</si>
  <si>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</si>
  <si>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</si>
  <si>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</si>
  <si>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</si>
  <si>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</si>
  <si>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</si>
  <si>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</si>
  <si>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</si>
  <si>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</si>
  <si>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</si>
  <si>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</si>
  <si>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</si>
  <si>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</si>
  <si>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</si>
  <si>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</si>
  <si>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</si>
  <si>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</si>
  <si>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</si>
  <si>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</si>
  <si>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</si>
  <si>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</si>
  <si>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</si>
  <si>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</si>
  <si>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</si>
  <si>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</si>
  <si>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</si>
  <si>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</si>
  <si>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</si>
  <si>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</si>
  <si>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</si>
  <si>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</si>
  <si>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</si>
  <si>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</si>
  <si>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</si>
  <si>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</si>
  <si>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</si>
  <si>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</si>
  <si>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</si>
  <si>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</si>
  <si>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</si>
  <si>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</si>
  <si>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</si>
  <si>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</si>
  <si>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</si>
  <si>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</si>
  <si>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</si>
  <si>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</si>
  <si>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</si>
  <si>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</si>
  <si>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</si>
  <si>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</si>
  <si>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</si>
  <si>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</si>
  <si>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</si>
  <si>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</si>
  <si>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</si>
  <si>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</si>
  <si>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</si>
  <si>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</si>
  <si>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</si>
  <si>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</si>
  <si>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</si>
  <si>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</si>
  <si>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</si>
  <si>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</si>
  <si>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</si>
  <si>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</si>
  <si>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</si>
  <si>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</si>
  <si>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</si>
  <si>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</si>
  <si>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</si>
  <si>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</si>
  <si>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</si>
  <si>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</si>
  <si>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</si>
  <si>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</si>
  <si>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</si>
  <si>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</si>
  <si>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</si>
  <si>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</si>
  <si>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</si>
  <si>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</si>
  <si>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</si>
  <si>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</si>
  <si>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</si>
  <si>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</si>
  <si>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</si>
  <si>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</si>
  <si>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</si>
  <si>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</si>
  <si>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</si>
  <si>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</si>
  <si>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</si>
  <si>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</si>
  <si>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</si>
  <si>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</si>
  <si>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</si>
  <si>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</si>
  <si>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</si>
  <si>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</si>
  <si>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</si>
  <si>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</si>
  <si>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</si>
  <si>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</si>
  <si>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</si>
  <si>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</si>
  <si>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</si>
  <si>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</si>
  <si>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</si>
  <si>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</si>
  <si>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</si>
  <si>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</si>
  <si>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</si>
  <si>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</si>
  <si>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2018年度</t>
    <rPh sb="4" eb="6">
      <t>ネンド</t>
    </rPh>
    <phoneticPr fontId="2"/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</si>
  <si>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</si>
  <si>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</si>
  <si>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</si>
  <si>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</si>
  <si>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</si>
  <si>
    <t>任意入力</t>
    <rPh sb="0" eb="2">
      <t>ニンイ</t>
    </rPh>
    <rPh sb="2" eb="4">
      <t>ニュウリョク</t>
    </rPh>
    <phoneticPr fontId="2"/>
  </si>
  <si>
    <t>必須入力</t>
    <rPh sb="0" eb="4">
      <t>ヒッスニュウリョク</t>
    </rPh>
    <phoneticPr fontId="2"/>
  </si>
  <si>
    <t>凡例</t>
    <rPh sb="0" eb="2">
      <t>ハンレイ</t>
    </rPh>
    <phoneticPr fontId="2"/>
  </si>
  <si>
    <t>$START</t>
    <phoneticPr fontId="2"/>
  </si>
  <si>
    <t>-</t>
    <phoneticPr fontId="2"/>
  </si>
  <si>
    <t>・左側のメニューから[マクロの設定]を選択し、マクロの設定のラジオボタンを[警告を表示してすべてのマクロを無効にする(D)]に設定変更する。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5">
      <t>ムコウ</t>
    </rPh>
    <rPh sb="63" eb="67">
      <t>セッテイヘンコウ</t>
    </rPh>
    <phoneticPr fontId="16"/>
  </si>
  <si>
    <t>入力不可</t>
    <rPh sb="0" eb="2">
      <t>ニュウリョク</t>
    </rPh>
    <rPh sb="2" eb="4">
      <t>フカ</t>
    </rPh>
    <phoneticPr fontId="2"/>
  </si>
  <si>
    <t>-</t>
    <phoneticPr fontId="2"/>
  </si>
  <si>
    <t>アップロード不可</t>
    <rPh sb="6" eb="8">
      <t>フカ</t>
    </rPh>
    <phoneticPr fontId="7"/>
  </si>
  <si>
    <t>（エラーチェック未実施）</t>
    <phoneticPr fontId="2"/>
  </si>
  <si>
    <t>部課長</t>
    <rPh sb="0" eb="3">
      <t>ブカチョウ</t>
    </rPh>
    <phoneticPr fontId="7"/>
  </si>
  <si>
    <t>DUMMY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</si>
</sst>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2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29">
    <xf numFmtId="0" fontId="0" fillId="0" borderId="0" xfId="0">
      <alignment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14" fillId="0" borderId="0" xfId="0" quotePrefix="1" applyFont="1">
      <alignment vertical="center"/>
    </xf>
    <xf numFmtId="49" fontId="4" fillId="0" borderId="24" xfId="2" applyNumberFormat="1" applyFill="1" applyBorder="1" applyProtection="1">
      <alignment vertical="center"/>
    </xf>
    <xf numFmtId="49" fontId="4" fillId="0" borderId="27" xfId="2" applyNumberFormat="1" applyFill="1" applyBorder="1" applyProtection="1">
      <alignment vertical="center"/>
    </xf>
    <xf numFmtId="49" fontId="4" fillId="0" borderId="25" xfId="2" applyNumberFormat="1" applyFill="1" applyBorder="1" applyProtection="1">
      <alignment vertical="center"/>
    </xf>
    <xf numFmtId="49" fontId="4" fillId="0" borderId="29" xfId="2" applyNumberFormat="1" applyFill="1" applyBorder="1" applyProtection="1">
      <alignment vertical="center"/>
    </xf>
    <xf numFmtId="49" fontId="4" fillId="0" borderId="26" xfId="2" applyNumberFormat="1" applyFont="1" applyFill="1" applyBorder="1" applyProtection="1">
      <alignment vertical="center"/>
    </xf>
    <xf numFmtId="49" fontId="4" fillId="0" borderId="27" xfId="2" applyNumberFormat="1" applyFont="1" applyFill="1" applyBorder="1" applyProtection="1">
      <alignment vertical="center"/>
    </xf>
    <xf numFmtId="49" fontId="4" fillId="0" borderId="25" xfId="2" applyNumberFormat="1" applyFont="1" applyFill="1" applyBorder="1" applyProtection="1">
      <alignment vertical="center"/>
    </xf>
    <xf numFmtId="49" fontId="4" fillId="0" borderId="29" xfId="2" applyNumberFormat="1" applyFont="1" applyFill="1" applyBorder="1" applyProtection="1">
      <alignment vertical="center"/>
    </xf>
    <xf numFmtId="49" fontId="4" fillId="0" borderId="30" xfId="2" applyNumberFormat="1" applyFont="1" applyFill="1" applyBorder="1" applyProtection="1">
      <alignment vertical="center"/>
    </xf>
    <xf numFmtId="49" fontId="4" fillId="0" borderId="24" xfId="2" applyNumberFormat="1" applyFont="1" applyFill="1" applyBorder="1" applyProtection="1">
      <alignment vertical="center"/>
    </xf>
    <xf numFmtId="49" fontId="6" fillId="0" borderId="0" xfId="2" applyNumberFormat="1" applyFont="1" applyProtection="1">
      <alignment vertical="center"/>
    </xf>
    <xf numFmtId="49" fontId="4" fillId="0" borderId="0" xfId="2" applyNumberFormat="1" applyProtection="1">
      <alignment vertical="center"/>
    </xf>
    <xf numFmtId="49" fontId="22" fillId="0" borderId="0" xfId="5" applyNumberFormat="1" applyFont="1" applyFill="1" applyBorder="1" applyAlignment="1" applyProtection="1">
      <alignment vertical="center"/>
    </xf>
    <xf numFmtId="49" fontId="4" fillId="0" borderId="0" xfId="2" applyNumberFormat="1" applyFont="1" applyProtection="1">
      <alignment vertical="center"/>
    </xf>
    <xf numFmtId="49" fontId="4" fillId="0" borderId="0" xfId="2" applyNumberFormat="1" applyFont="1" applyAlignment="1" applyProtection="1">
      <alignment horizontal="center" vertical="center"/>
    </xf>
    <xf numFmtId="49" fontId="4" fillId="8" borderId="0" xfId="2" applyNumberFormat="1" applyFont="1" applyFill="1" applyBorder="1" applyProtection="1">
      <alignment vertical="center"/>
    </xf>
    <xf numFmtId="49" fontId="4" fillId="2" borderId="3" xfId="2" applyNumberFormat="1" applyFill="1" applyBorder="1" applyAlignment="1" applyProtection="1">
      <alignment vertical="center"/>
    </xf>
    <xf numFmtId="49" fontId="4" fillId="2" borderId="4" xfId="2" applyNumberFormat="1" applyFill="1" applyBorder="1" applyAlignment="1" applyProtection="1">
      <alignment vertical="center"/>
    </xf>
    <xf numFmtId="49" fontId="9" fillId="2" borderId="3" xfId="2" applyNumberFormat="1" applyFont="1" applyFill="1" applyBorder="1" applyAlignment="1" applyProtection="1">
      <alignment vertical="center"/>
    </xf>
    <xf numFmtId="49" fontId="4" fillId="2" borderId="2" xfId="2" applyNumberFormat="1" applyFill="1" applyBorder="1" applyAlignment="1" applyProtection="1">
      <alignment vertical="center"/>
    </xf>
    <xf numFmtId="49" fontId="8" fillId="2" borderId="1" xfId="2" applyNumberFormat="1" applyFont="1" applyFill="1" applyBorder="1" applyAlignment="1" applyProtection="1">
      <alignment horizontal="left" vertical="center"/>
    </xf>
    <xf numFmtId="49" fontId="4" fillId="14" borderId="0" xfId="2" applyNumberFormat="1" applyFont="1" applyFill="1" applyBorder="1" applyProtection="1">
      <alignment vertical="center"/>
    </xf>
    <xf numFmtId="49" fontId="4" fillId="3" borderId="5" xfId="2" applyNumberFormat="1" applyFill="1" applyBorder="1" applyAlignment="1" applyProtection="1">
      <alignment vertical="top" wrapText="1"/>
    </xf>
    <xf numFmtId="49" fontId="4" fillId="3" borderId="6" xfId="2" applyNumberFormat="1" applyFill="1" applyBorder="1" applyAlignment="1" applyProtection="1">
      <alignment vertical="top" wrapText="1"/>
    </xf>
    <xf numFmtId="49" fontId="4" fillId="3" borderId="5" xfId="2" applyNumberFormat="1" applyFill="1" applyBorder="1" applyAlignment="1" applyProtection="1">
      <alignment vertical="top"/>
    </xf>
    <xf numFmtId="49" fontId="4" fillId="3" borderId="7" xfId="2" applyNumberFormat="1" applyFill="1" applyBorder="1" applyAlignment="1" applyProtection="1">
      <alignment vertical="top"/>
    </xf>
    <xf numFmtId="49" fontId="4" fillId="3" borderId="3" xfId="2" applyNumberFormat="1" applyFill="1" applyBorder="1" applyAlignment="1" applyProtection="1">
      <alignment vertical="center"/>
    </xf>
    <xf numFmtId="49" fontId="4" fillId="3" borderId="2" xfId="2" applyNumberFormat="1" applyFill="1" applyBorder="1" applyAlignment="1" applyProtection="1">
      <alignment vertical="center"/>
    </xf>
    <xf numFmtId="49" fontId="4" fillId="0" borderId="0" xfId="2" applyNumberFormat="1" applyFont="1" applyBorder="1" applyProtection="1">
      <alignment vertical="center"/>
    </xf>
    <xf numFmtId="49" fontId="4" fillId="15" borderId="0" xfId="2" applyNumberFormat="1" applyFont="1" applyFill="1" applyBorder="1" applyProtection="1">
      <alignment vertical="center"/>
    </xf>
    <xf numFmtId="49" fontId="9" fillId="3" borderId="8" xfId="2" applyNumberFormat="1" applyFont="1" applyFill="1" applyBorder="1" applyAlignment="1" applyProtection="1">
      <alignment vertical="top"/>
    </xf>
    <xf numFmtId="49" fontId="8" fillId="3" borderId="0" xfId="2" applyNumberFormat="1" applyFont="1" applyFill="1" applyBorder="1" applyAlignment="1" applyProtection="1">
      <alignment vertical="top" wrapText="1"/>
    </xf>
    <xf numFmtId="49" fontId="8" fillId="3" borderId="9" xfId="2" applyNumberFormat="1" applyFont="1" applyFill="1" applyBorder="1" applyAlignment="1" applyProtection="1">
      <alignment vertical="top"/>
    </xf>
    <xf numFmtId="49" fontId="8" fillId="3" borderId="10" xfId="2" applyNumberFormat="1" applyFont="1" applyFill="1" applyBorder="1" applyAlignment="1" applyProtection="1">
      <alignment vertical="top"/>
    </xf>
    <xf numFmtId="49" fontId="8" fillId="3" borderId="3" xfId="2" applyNumberFormat="1" applyFont="1" applyFill="1" applyBorder="1" applyAlignment="1" applyProtection="1">
      <alignment vertical="center"/>
    </xf>
    <xf numFmtId="49" fontId="8" fillId="3" borderId="2" xfId="2" applyNumberFormat="1" applyFont="1" applyFill="1" applyBorder="1" applyAlignment="1" applyProtection="1">
      <alignment vertical="center"/>
    </xf>
    <xf numFmtId="49" fontId="8" fillId="3" borderId="8" xfId="2" applyNumberFormat="1" applyFont="1" applyFill="1" applyBorder="1" applyAlignment="1" applyProtection="1">
      <alignment vertical="top" wrapText="1"/>
    </xf>
    <xf numFmtId="49" fontId="8" fillId="3" borderId="5" xfId="2" applyNumberFormat="1" applyFont="1" applyFill="1" applyBorder="1" applyAlignment="1" applyProtection="1">
      <alignment vertical="top"/>
    </xf>
    <xf numFmtId="49" fontId="8" fillId="3" borderId="7" xfId="2" applyNumberFormat="1" applyFont="1" applyFill="1" applyBorder="1" applyAlignment="1" applyProtection="1">
      <alignment vertical="top"/>
    </xf>
    <xf numFmtId="49" fontId="8" fillId="3" borderId="9" xfId="2" applyNumberFormat="1" applyFont="1" applyFill="1" applyBorder="1" applyAlignment="1" applyProtection="1">
      <alignment vertical="top" wrapText="1"/>
    </xf>
    <xf numFmtId="49" fontId="8" fillId="3" borderId="11" xfId="2" applyNumberFormat="1" applyFont="1" applyFill="1" applyBorder="1" applyAlignment="1" applyProtection="1">
      <alignment vertical="top" wrapText="1"/>
    </xf>
    <xf numFmtId="49" fontId="8" fillId="3" borderId="4" xfId="2" applyNumberFormat="1" applyFont="1" applyFill="1" applyBorder="1" applyAlignment="1" applyProtection="1">
      <alignment vertical="center"/>
    </xf>
    <xf numFmtId="49" fontId="26" fillId="3" borderId="4" xfId="2" applyNumberFormat="1" applyFont="1" applyFill="1" applyBorder="1" applyAlignment="1" applyProtection="1">
      <alignment vertical="center"/>
    </xf>
    <xf numFmtId="49" fontId="26" fillId="3" borderId="2" xfId="2" applyNumberFormat="1" applyFont="1" applyFill="1" applyBorder="1" applyAlignment="1" applyProtection="1">
      <alignment vertical="center"/>
    </xf>
    <xf numFmtId="49" fontId="10" fillId="0" borderId="0" xfId="2" applyNumberFormat="1" applyFont="1" applyProtection="1">
      <alignment vertical="center"/>
    </xf>
    <xf numFmtId="49" fontId="10" fillId="0" borderId="0" xfId="2" applyNumberFormat="1" applyFont="1" applyAlignment="1" applyProtection="1">
      <alignment horizontal="left" vertical="center"/>
    </xf>
    <xf numFmtId="49" fontId="8" fillId="0" borderId="0" xfId="2" applyNumberFormat="1" applyFont="1" applyProtection="1">
      <alignment vertical="center"/>
    </xf>
    <xf numFmtId="49" fontId="8" fillId="7" borderId="1" xfId="2" applyNumberFormat="1" applyFont="1" applyFill="1" applyBorder="1" applyAlignment="1" applyProtection="1">
      <alignment horizontal="center" vertical="center" wrapText="1"/>
    </xf>
    <xf numFmtId="49" fontId="8" fillId="7" borderId="1" xfId="2" applyNumberFormat="1" applyFont="1" applyFill="1" applyBorder="1" applyAlignment="1" applyProtection="1">
      <alignment horizontal="center" vertical="center"/>
    </xf>
    <xf numFmtId="49" fontId="13" fillId="5" borderId="1" xfId="2" applyNumberFormat="1" applyFont="1" applyFill="1" applyBorder="1" applyAlignment="1" applyProtection="1">
      <alignment horizontal="center" vertical="center" wrapText="1"/>
    </xf>
    <xf numFmtId="49" fontId="13" fillId="5" borderId="1" xfId="2" applyNumberFormat="1" applyFont="1" applyFill="1" applyBorder="1" applyAlignment="1" applyProtection="1">
      <alignment horizontal="center" vertical="center"/>
    </xf>
    <xf numFmtId="49" fontId="12" fillId="5" borderId="1" xfId="2" applyNumberFormat="1" applyFont="1" applyFill="1" applyBorder="1" applyAlignment="1" applyProtection="1">
      <alignment horizontal="center" vertical="center" wrapText="1"/>
    </xf>
    <xf numFmtId="49" fontId="12" fillId="5" borderId="1" xfId="2" applyNumberFormat="1" applyFont="1" applyFill="1" applyBorder="1" applyAlignment="1" applyProtection="1">
      <alignment horizontal="center" vertical="center"/>
    </xf>
    <xf numFmtId="49" fontId="13" fillId="12" borderId="1" xfId="2" applyNumberFormat="1" applyFont="1" applyFill="1" applyBorder="1" applyAlignment="1" applyProtection="1">
      <alignment horizontal="center" vertical="center" wrapText="1"/>
    </xf>
    <xf numFmtId="49" fontId="13" fillId="3" borderId="1" xfId="2" applyNumberFormat="1" applyFont="1" applyFill="1" applyBorder="1" applyAlignment="1" applyProtection="1">
      <alignment horizontal="center" vertical="center" wrapText="1"/>
    </xf>
    <xf numFmtId="49" fontId="13" fillId="6" borderId="2" xfId="2" applyNumberFormat="1" applyFont="1" applyFill="1" applyBorder="1" applyAlignment="1" applyProtection="1">
      <alignment horizontal="center" vertical="center" wrapText="1"/>
    </xf>
    <xf numFmtId="49" fontId="13" fillId="6" borderId="1" xfId="2" applyNumberFormat="1" applyFont="1" applyFill="1" applyBorder="1" applyAlignment="1" applyProtection="1">
      <alignment horizontal="center" vertical="center" wrapText="1"/>
    </xf>
    <xf numFmtId="49" fontId="13" fillId="6" borderId="1" xfId="2" applyNumberFormat="1" applyFont="1" applyFill="1" applyBorder="1" applyAlignment="1" applyProtection="1">
      <alignment horizontal="center" vertical="center"/>
    </xf>
    <xf numFmtId="49" fontId="8" fillId="0" borderId="0" xfId="2" applyNumberFormat="1" applyFont="1" applyFill="1" applyProtection="1">
      <alignment vertical="center"/>
    </xf>
    <xf numFmtId="49" fontId="13" fillId="0" borderId="12" xfId="2" applyNumberFormat="1" applyFont="1" applyFill="1" applyBorder="1" applyAlignment="1" applyProtection="1">
      <alignment horizontal="center" vertical="center" wrapText="1"/>
    </xf>
    <xf numFmtId="49" fontId="4" fillId="0" borderId="28" xfId="2" applyNumberFormat="1" applyFill="1" applyBorder="1" applyProtection="1">
      <alignment vertical="center"/>
    </xf>
    <xf numFmtId="0" fontId="4" fillId="0" borderId="1" xfId="2" applyNumberFormat="1" applyBorder="1" applyAlignment="1" applyProtection="1">
      <alignment vertical="center"/>
    </xf>
    <xf numFmtId="0" fontId="8" fillId="0" borderId="1" xfId="2" applyNumberFormat="1" applyFont="1" applyBorder="1" applyAlignment="1" applyProtection="1">
      <alignment vertical="center"/>
    </xf>
    <xf numFmtId="176" fontId="4" fillId="0" borderId="0" xfId="2" applyNumberFormat="1" applyProtection="1">
      <alignment vertical="center"/>
    </xf>
    <xf numFmtId="176" fontId="10" fillId="0" borderId="0" xfId="2" applyNumberFormat="1" applyFont="1" applyProtection="1">
      <alignment vertical="center"/>
    </xf>
    <xf numFmtId="176" fontId="8" fillId="0" borderId="0" xfId="2" applyNumberFormat="1" applyFont="1" applyProtection="1">
      <alignment vertical="center"/>
    </xf>
    <xf numFmtId="176" fontId="8" fillId="0" borderId="0" xfId="2" applyNumberFormat="1" applyFont="1" applyFill="1" applyProtection="1">
      <alignment vertical="center"/>
    </xf>
    <xf numFmtId="49" fontId="20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49" fontId="28" fillId="0" borderId="0" xfId="0" applyNumberFormat="1" applyFont="1" applyFill="1">
      <alignment vertical="center"/>
    </xf>
    <xf numFmtId="49" fontId="29" fillId="0" borderId="0" xfId="0" applyNumberFormat="1" applyFont="1" applyFill="1">
      <alignment vertical="center"/>
    </xf>
    <xf numFmtId="49" fontId="14" fillId="10" borderId="22" xfId="0" applyNumberFormat="1" applyFont="1" applyFill="1" applyBorder="1" applyAlignment="1">
      <alignment horizontal="center" vertical="center"/>
    </xf>
    <xf numFmtId="49" fontId="14" fillId="0" borderId="23" xfId="0" applyNumberFormat="1" applyFont="1" applyBorder="1">
      <alignment vertical="center"/>
    </xf>
    <xf numFmtId="49" fontId="4" fillId="0" borderId="27" xfId="2" applyNumberFormat="1" applyFont="1" applyFill="1" applyBorder="1" applyAlignment="1" applyProtection="1">
      <alignment horizontal="center" vertical="center"/>
    </xf>
    <xf numFmtId="49" fontId="4" fillId="0" borderId="30" xfId="2" applyNumberFormat="1" applyFont="1" applyFill="1" applyBorder="1" applyAlignment="1" applyProtection="1">
      <alignment horizontal="center" vertical="center"/>
    </xf>
    <xf numFmtId="49" fontId="4" fillId="0" borderId="31" xfId="2" applyNumberFormat="1" applyFont="1" applyFill="1" applyBorder="1" applyProtection="1">
      <alignment vertical="center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49" fontId="23" fillId="11" borderId="0" xfId="2" applyNumberFormat="1" applyFont="1" applyFill="1" applyAlignment="1" applyProtection="1">
      <alignment horizontal="center" wrapText="1"/>
    </xf>
    <xf numFmtId="49" fontId="24" fillId="11" borderId="0" xfId="2" applyNumberFormat="1" applyFont="1" applyFill="1" applyAlignment="1" applyProtection="1">
      <alignment horizontal="center" wrapText="1"/>
    </xf>
    <xf numFmtId="49" fontId="25" fillId="11" borderId="0" xfId="2" applyNumberFormat="1" applyFont="1" applyFill="1" applyAlignment="1" applyProtection="1">
      <alignment horizontal="center" vertical="center"/>
    </xf>
    <xf numFmtId="49" fontId="8" fillId="3" borderId="3" xfId="2" applyNumberFormat="1" applyFont="1" applyFill="1" applyBorder="1" applyAlignment="1" applyProtection="1">
      <alignment horizontal="center" vertical="center"/>
    </xf>
    <xf numFmtId="49" fontId="8" fillId="3" borderId="4" xfId="2" applyNumberFormat="1" applyFont="1" applyFill="1" applyBorder="1" applyAlignment="1" applyProtection="1">
      <alignment horizontal="center" vertical="center"/>
    </xf>
    <xf numFmtId="49" fontId="8" fillId="3" borderId="2" xfId="2" applyNumberFormat="1" applyFont="1" applyFill="1" applyBorder="1" applyAlignment="1" applyProtection="1">
      <alignment horizontal="center" vertical="center"/>
    </xf>
    <xf numFmtId="49" fontId="13" fillId="4" borderId="12" xfId="2" applyNumberFormat="1" applyFont="1" applyFill="1" applyBorder="1" applyAlignment="1" applyProtection="1">
      <alignment horizontal="center" vertical="center" wrapText="1"/>
    </xf>
    <xf numFmtId="49" fontId="13" fillId="4" borderId="13" xfId="2" applyNumberFormat="1" applyFont="1" applyFill="1" applyBorder="1" applyAlignment="1" applyProtection="1">
      <alignment horizontal="center" vertical="center" wrapText="1"/>
    </xf>
    <xf numFmtId="49" fontId="8" fillId="4" borderId="3" xfId="2" applyNumberFormat="1" applyFont="1" applyFill="1" applyBorder="1" applyAlignment="1" applyProtection="1">
      <alignment horizontal="center" vertical="center"/>
    </xf>
    <xf numFmtId="49" fontId="8" fillId="4" borderId="4" xfId="2" applyNumberFormat="1" applyFont="1" applyFill="1" applyBorder="1" applyAlignment="1" applyProtection="1">
      <alignment horizontal="center" vertical="center"/>
    </xf>
    <xf numFmtId="49" fontId="8" fillId="4" borderId="2" xfId="2" applyNumberFormat="1" applyFont="1" applyFill="1" applyBorder="1" applyAlignment="1" applyProtection="1">
      <alignment horizontal="center" vertical="center"/>
    </xf>
    <xf numFmtId="49" fontId="12" fillId="5" borderId="12" xfId="2" applyNumberFormat="1" applyFont="1" applyFill="1" applyBorder="1" applyAlignment="1" applyProtection="1">
      <alignment horizontal="center" vertical="center" wrapText="1"/>
    </xf>
    <xf numFmtId="49" fontId="12" fillId="5" borderId="13" xfId="2" applyNumberFormat="1" applyFont="1" applyFill="1" applyBorder="1" applyAlignment="1" applyProtection="1">
      <alignment horizontal="center" vertical="center" wrapText="1"/>
    </xf>
    <xf numFmtId="49" fontId="13" fillId="6" borderId="1" xfId="2" applyNumberFormat="1" applyFont="1" applyFill="1" applyBorder="1" applyAlignment="1" applyProtection="1">
      <alignment horizontal="center" vertical="center"/>
    </xf>
    <xf numFmtId="49" fontId="13" fillId="6" borderId="4" xfId="2" applyNumberFormat="1" applyFont="1" applyFill="1" applyBorder="1" applyAlignment="1" applyProtection="1">
      <alignment horizontal="center" vertical="center"/>
    </xf>
    <xf numFmtId="49" fontId="13" fillId="6" borderId="2" xfId="2" applyNumberFormat="1" applyFont="1" applyFill="1" applyBorder="1" applyAlignment="1" applyProtection="1">
      <alignment horizontal="center" vertical="center"/>
    </xf>
    <xf numFmtId="49" fontId="13" fillId="5" borderId="5" xfId="2" applyNumberFormat="1" applyFont="1" applyFill="1" applyBorder="1" applyAlignment="1" applyProtection="1">
      <alignment horizontal="center" vertical="center" wrapText="1"/>
    </xf>
    <xf numFmtId="49" fontId="13" fillId="5" borderId="6" xfId="2" applyNumberFormat="1" applyFont="1" applyFill="1" applyBorder="1" applyAlignment="1" applyProtection="1">
      <alignment horizontal="center" vertical="center" wrapText="1"/>
    </xf>
    <xf numFmtId="49" fontId="13" fillId="5" borderId="7" xfId="2" applyNumberFormat="1" applyFont="1" applyFill="1" applyBorder="1" applyAlignment="1" applyProtection="1">
      <alignment horizontal="center" vertical="center" wrapText="1"/>
    </xf>
    <xf numFmtId="49" fontId="13" fillId="5" borderId="1" xfId="2" applyNumberFormat="1" applyFont="1" applyFill="1" applyBorder="1" applyAlignment="1" applyProtection="1">
      <alignment horizontal="center" vertical="center"/>
    </xf>
    <xf numFmtId="49" fontId="13" fillId="12" borderId="1" xfId="2" applyNumberFormat="1" applyFont="1" applyFill="1" applyBorder="1" applyAlignment="1" applyProtection="1">
      <alignment horizontal="center" vertical="center"/>
    </xf>
    <xf numFmtId="49" fontId="13" fillId="3" borderId="1" xfId="2" applyNumberFormat="1" applyFont="1" applyFill="1" applyBorder="1" applyAlignment="1" applyProtection="1">
      <alignment horizontal="center" vertical="center"/>
    </xf>
    <xf numFmtId="49" fontId="10" fillId="13" borderId="1" xfId="2" applyNumberFormat="1" applyFont="1" applyFill="1" applyBorder="1" applyAlignment="1" applyProtection="1">
      <alignment horizontal="center" vertical="center"/>
    </xf>
    <xf numFmtId="49" fontId="13" fillId="3" borderId="12" xfId="2" applyNumberFormat="1" applyFont="1" applyFill="1" applyBorder="1" applyAlignment="1" applyProtection="1">
      <alignment horizontal="center" vertical="center" wrapText="1"/>
    </xf>
    <xf numFmtId="49" fontId="13" fillId="3" borderId="13" xfId="2" applyNumberFormat="1" applyFont="1" applyFill="1" applyBorder="1" applyAlignment="1" applyProtection="1">
      <alignment horizontal="center" vertical="center" wrapText="1"/>
    </xf>
    <xf numFmtId="49" fontId="8" fillId="0" borderId="5" xfId="2" applyNumberFormat="1" applyFont="1" applyFill="1" applyBorder="1" applyAlignment="1" applyProtection="1">
      <alignment horizontal="center" vertical="center" wrapText="1"/>
    </xf>
    <xf numFmtId="49" fontId="8" fillId="0" borderId="6" xfId="2" applyNumberFormat="1" applyFont="1" applyFill="1" applyBorder="1" applyAlignment="1" applyProtection="1">
      <alignment horizontal="center" vertical="center" wrapText="1"/>
    </xf>
    <xf numFmtId="49" fontId="8" fillId="0" borderId="7" xfId="2" applyNumberFormat="1" applyFont="1" applyFill="1" applyBorder="1" applyAlignment="1" applyProtection="1">
      <alignment horizontal="center" vertical="center" wrapText="1"/>
    </xf>
    <xf numFmtId="49" fontId="13" fillId="0" borderId="5" xfId="2" applyNumberFormat="1" applyFont="1" applyFill="1" applyBorder="1" applyAlignment="1" applyProtection="1">
      <alignment horizontal="center" vertical="center" wrapText="1"/>
    </xf>
    <xf numFmtId="49" fontId="13" fillId="0" borderId="6" xfId="2" applyNumberFormat="1" applyFont="1" applyFill="1" applyBorder="1" applyAlignment="1" applyProtection="1">
      <alignment horizontal="center" vertical="center" wrapText="1"/>
    </xf>
    <xf numFmtId="49" fontId="13" fillId="0" borderId="7" xfId="2" applyNumberFormat="1" applyFont="1" applyFill="1" applyBorder="1" applyAlignment="1" applyProtection="1">
      <alignment horizontal="center" vertical="center" wrapText="1"/>
    </xf>
    <xf numFmtId="49" fontId="13" fillId="0" borderId="6" xfId="2" applyNumberFormat="1" applyFont="1" applyFill="1" applyBorder="1" applyAlignment="1" applyProtection="1">
      <alignment horizontal="center" vertical="center"/>
    </xf>
    <xf numFmtId="49" fontId="13" fillId="0" borderId="7" xfId="2" applyNumberFormat="1" applyFont="1" applyFill="1" applyBorder="1" applyAlignment="1" applyProtection="1">
      <alignment horizontal="center" vertical="center"/>
    </xf>
    <xf numFmtId="49" fontId="13" fillId="6" borderId="3" xfId="2" applyNumberFormat="1" applyFont="1" applyFill="1" applyBorder="1" applyAlignment="1" applyProtection="1">
      <alignment horizontal="center" vertical="center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本ファイルについて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複数人の人材育成計画について、本ファイルに入力し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P's</a:t>
          </a:r>
          <a:r>
            <a:rPr kumimoji="1" lang="en-US" altLang="ja-JP" sz="10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Roll</a:t>
          </a:r>
          <a:r>
            <a:rPr kumimoji="1" lang="ja-JP" altLang="ja-JP" sz="10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にアップロードすることで一括登録が可能です。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手順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１）入力完了後、「エラーチェック実施」ボタンを押下して下さい。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エラーチェック結果が「アップロード可」の場合のみ、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ｓ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Roll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にアップロード可能です。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２）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P'sRoll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の「人材育成計画 詳細表示」画面より本ファイルをアップロードして下さい。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注意点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１）社員の追加、削除はこのファイルではできません。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２）不明点につきましては、調達職能人事にご連絡下さい。</a:t>
          </a:r>
          <a:endParaRPr kumimoji="1" lang="ja-JP" altLang="en-US" sz="1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238125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tabSelected="1" view="pageBreakPreview" zoomScaleNormal="100" zoomScaleSheetLayoutView="100" workbookViewId="0"/>
  </sheetViews>
  <sheetFormatPr defaultColWidth="4.125" defaultRowHeight="14.25"/>
  <cols>
    <col min="1" max="16384" width="4.125" style="2"/>
  </cols>
  <sheetData>
    <row r="2" spans="2:28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28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28" ht="16.5">
      <c r="B4" s="1"/>
      <c r="C4" s="93" t="s">
        <v>54</v>
      </c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1"/>
    </row>
    <row r="5" spans="2:28">
      <c r="B5" s="1"/>
      <c r="C5" s="1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1"/>
    </row>
    <row r="6" spans="2:28" s="5" customFormat="1" ht="17.25" thickBot="1">
      <c r="B6" s="4"/>
      <c r="C6" s="94" t="s">
        <v>55</v>
      </c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4"/>
    </row>
    <row r="7" spans="2:28" ht="15" thickTop="1">
      <c r="B7" s="1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8"/>
      <c r="AB7" s="1"/>
    </row>
    <row r="8" spans="2:28">
      <c r="B8" s="1"/>
      <c r="C8" s="9"/>
      <c r="D8" s="10" t="s">
        <v>56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1"/>
      <c r="AB8" s="1"/>
    </row>
    <row r="9" spans="2:28">
      <c r="B9" s="1"/>
      <c r="C9" s="9"/>
      <c r="D9" s="10" t="s">
        <v>57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1"/>
      <c r="AB9" s="1"/>
    </row>
    <row r="10" spans="2:28">
      <c r="B10" s="1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1"/>
      <c r="AB10" s="1"/>
    </row>
    <row r="11" spans="2:28">
      <c r="B11" s="1"/>
      <c r="C11" s="9"/>
      <c r="D11" s="10" t="s">
        <v>58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1"/>
      <c r="AB11" s="1"/>
    </row>
    <row r="12" spans="2:28">
      <c r="B12" s="1"/>
      <c r="C12" s="9"/>
      <c r="D12" s="10"/>
      <c r="E12" s="10" t="s">
        <v>59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1"/>
      <c r="AB12" s="1"/>
    </row>
    <row r="13" spans="2:28">
      <c r="B13" s="1"/>
      <c r="C13" s="9"/>
      <c r="D13" s="10"/>
      <c r="E13" s="10" t="s">
        <v>60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1"/>
      <c r="AB13" s="1"/>
    </row>
    <row r="14" spans="2:28">
      <c r="B14" s="1"/>
      <c r="C14" s="9"/>
      <c r="D14" s="10"/>
      <c r="E14" s="10" t="s">
        <v>153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1"/>
      <c r="AB14" s="1"/>
    </row>
    <row r="15" spans="2:28">
      <c r="B15" s="1"/>
      <c r="C15" s="9"/>
      <c r="D15" s="10"/>
      <c r="E15" s="10" t="s">
        <v>61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1"/>
      <c r="AB15" s="1"/>
    </row>
    <row r="16" spans="2:28">
      <c r="B16" s="1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1"/>
      <c r="AB16" s="1"/>
    </row>
    <row r="17" spans="2:28">
      <c r="B17" s="1"/>
      <c r="C17" s="9"/>
      <c r="D17" s="10" t="s">
        <v>62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1"/>
      <c r="AB17" s="1"/>
    </row>
    <row r="18" spans="2:28">
      <c r="B18" s="1"/>
      <c r="C18" s="9"/>
      <c r="D18" s="10"/>
      <c r="E18" s="10" t="s">
        <v>63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1"/>
      <c r="AB18" s="1"/>
    </row>
    <row r="19" spans="2:28">
      <c r="B19" s="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1"/>
      <c r="AB19" s="1"/>
    </row>
    <row r="20" spans="2:28" ht="15" thickBot="1">
      <c r="B20" s="1"/>
      <c r="C20" s="12" t="s">
        <v>64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4"/>
      <c r="AB20" s="1"/>
    </row>
    <row r="21" spans="2:28" ht="15" thickTop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</sheetData>
  <sheetProtection password="B6FF" sheet="1" objects="1" scenarios="1" formatColumns="0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17"/>
  <sheetViews>
    <sheetView showGridLines="0" zoomScaleNormal="100" workbookViewId="0">
      <pane ySplit="16" topLeftCell="A17" activePane="bottomLeft" state="frozen"/>
      <selection pane="bottomLeft"/>
    </sheetView>
  </sheetViews>
  <sheetFormatPr defaultRowHeight="11.25"/>
  <cols>
    <col min="1" max="1" width="2.125" style="28" customWidth="1"/>
    <col min="2" max="2" width="12.875" style="28" customWidth="1"/>
    <col min="3" max="3" width="5.875" style="28" customWidth="1"/>
    <col min="4" max="4" width="6.75" style="28" bestFit="1" customWidth="1"/>
    <col min="5" max="5" width="12.625" style="28" bestFit="1" customWidth="1"/>
    <col min="6" max="6" width="38.375" style="28" bestFit="1" customWidth="1"/>
    <col min="7" max="7" width="9.125" style="28" bestFit="1" customWidth="1"/>
    <col min="8" max="9" width="4.5" style="28" bestFit="1" customWidth="1"/>
    <col min="10" max="11" width="5.125" style="28" customWidth="1"/>
    <col min="12" max="12" width="8.625" style="28" customWidth="1"/>
    <col min="13" max="13" width="6.25" style="28" customWidth="1"/>
    <col min="14" max="14" width="4.5" style="28" bestFit="1" customWidth="1"/>
    <col min="15" max="15" width="9.125" style="28" bestFit="1" customWidth="1"/>
    <col min="16" max="16" width="12.625" style="28" bestFit="1" customWidth="1"/>
    <col min="17" max="17" width="7.5" style="28" bestFit="1" customWidth="1"/>
    <col min="18" max="18" width="10" style="28" bestFit="1" customWidth="1"/>
    <col min="19" max="19" width="9.125" style="30" bestFit="1" customWidth="1"/>
    <col min="20" max="20" width="7.5" style="30" bestFit="1" customWidth="1"/>
    <col min="21" max="21" width="7.75" style="30" bestFit="1" customWidth="1"/>
    <col min="22" max="22" width="7.75" style="30" customWidth="1"/>
    <col min="23" max="23" width="19.5" style="30" bestFit="1" customWidth="1"/>
    <col min="24" max="24" width="5.625" style="30" customWidth="1"/>
    <col min="25" max="25" width="9.125" style="30" bestFit="1" customWidth="1"/>
    <col min="26" max="26" width="16" style="30" bestFit="1" customWidth="1"/>
    <col min="27" max="27" width="7.5" style="30" bestFit="1" customWidth="1"/>
    <col min="28" max="28" width="11.75" style="30" bestFit="1" customWidth="1"/>
    <col min="29" max="29" width="11.75" style="30" customWidth="1"/>
    <col min="30" max="30" width="4.5" style="30" bestFit="1" customWidth="1"/>
    <col min="31" max="31" width="13.875" style="30" bestFit="1" customWidth="1"/>
    <col min="32" max="32" width="6.625" style="30" customWidth="1"/>
    <col min="33" max="33" width="16.5" style="30" customWidth="1"/>
    <col min="34" max="34" width="8.625" style="30" customWidth="1"/>
    <col min="35" max="35" width="11.625" style="30" customWidth="1"/>
    <col min="36" max="36" width="8.625" style="30" customWidth="1"/>
    <col min="37" max="37" width="11.625" style="30" customWidth="1"/>
    <col min="38" max="38" width="28.625" style="30" customWidth="1"/>
    <col min="39" max="39" width="9.125" style="31" customWidth="1"/>
    <col min="40" max="40" width="14.625" style="30" customWidth="1"/>
    <col min="41" max="41" width="20.625" style="30" customWidth="1"/>
    <col min="42" max="42" width="11.125" style="30" customWidth="1"/>
    <col min="43" max="43" width="10.125" style="30" customWidth="1"/>
    <col min="44" max="44" width="18.125" style="30" customWidth="1"/>
    <col min="45" max="45" width="12.625" style="30" customWidth="1"/>
    <col min="46" max="47" width="16.625" style="30" customWidth="1"/>
    <col min="48" max="48" width="14.625" style="30" customWidth="1"/>
    <col min="49" max="49" width="18.625" style="30" customWidth="1"/>
    <col min="50" max="50" width="9.125" style="31" customWidth="1"/>
    <col min="51" max="51" width="14.625" style="30" customWidth="1"/>
    <col min="52" max="52" width="20.625" style="30" customWidth="1"/>
    <col min="53" max="53" width="11.125" style="30" customWidth="1"/>
    <col min="54" max="54" width="10.125" style="30" customWidth="1"/>
    <col min="55" max="55" width="18.125" style="30" customWidth="1"/>
    <col min="56" max="56" width="12.625" style="30" customWidth="1"/>
    <col min="57" max="58" width="16.625" style="30" customWidth="1"/>
    <col min="59" max="59" width="14.625" style="30" customWidth="1"/>
    <col min="60" max="60" width="18.625" style="30" customWidth="1"/>
    <col min="61" max="61" width="9.125" style="31" customWidth="1"/>
    <col min="62" max="62" width="14.625" style="30" customWidth="1"/>
    <col min="63" max="63" width="20.625" style="30" customWidth="1"/>
    <col min="64" max="64" width="11.125" style="30" customWidth="1"/>
    <col min="65" max="65" width="10.125" style="30" customWidth="1"/>
    <col min="66" max="66" width="18.125" style="30" customWidth="1"/>
    <col min="67" max="67" width="12.625" style="30" customWidth="1"/>
    <col min="68" max="69" width="16.625" style="30" customWidth="1"/>
    <col min="70" max="70" width="14.625" style="30" customWidth="1"/>
    <col min="71" max="71" width="18.625" style="30" customWidth="1"/>
    <col min="72" max="72" width="9.125" style="31" customWidth="1"/>
    <col min="73" max="73" width="14.625" style="30" customWidth="1"/>
    <col min="74" max="74" width="20.625" style="30" customWidth="1"/>
    <col min="75" max="75" width="11.125" style="30" customWidth="1"/>
    <col min="76" max="76" width="10.125" style="30" customWidth="1"/>
    <col min="77" max="77" width="18.125" style="30" customWidth="1"/>
    <col min="78" max="78" width="12.625" style="30" customWidth="1"/>
    <col min="79" max="80" width="16.625" style="30" customWidth="1"/>
    <col min="81" max="81" width="14.625" style="30" customWidth="1"/>
    <col min="82" max="82" width="18.625" style="30" customWidth="1"/>
    <col min="83" max="83" width="9.125" style="31" customWidth="1"/>
    <col min="84" max="84" width="14.625" style="30" customWidth="1"/>
    <col min="85" max="85" width="20.625" style="30" customWidth="1"/>
    <col min="86" max="86" width="11.125" style="30" customWidth="1"/>
    <col min="87" max="87" width="10.125" style="30" customWidth="1"/>
    <col min="88" max="88" width="18.125" style="30" customWidth="1"/>
    <col min="89" max="89" width="12.625" style="30" customWidth="1"/>
    <col min="90" max="91" width="16.625" style="30" customWidth="1"/>
    <col min="92" max="92" width="14.625" style="30" customWidth="1"/>
    <col min="93" max="93" width="18.625" style="30" customWidth="1"/>
    <col min="94" max="94" width="9.125" style="31" customWidth="1"/>
    <col min="95" max="95" width="20.625" style="30" customWidth="1"/>
    <col min="96" max="96" width="10.125" style="30" customWidth="1"/>
    <col min="97" max="97" width="18.125" style="30" customWidth="1"/>
    <col min="98" max="98" width="12.625" style="30" customWidth="1"/>
    <col min="99" max="100" width="16.625" style="30" customWidth="1"/>
    <col min="101" max="101" width="14.625" style="30" customWidth="1"/>
    <col min="102" max="102" width="18.625" style="30" customWidth="1"/>
    <col min="103" max="103" width="38.125" style="30" customWidth="1"/>
    <col min="104" max="104" width="9" style="80"/>
    <col min="105" max="16384" width="9" style="28"/>
  </cols>
  <sheetData>
    <row r="2" spans="1:107" ht="24" customHeight="1">
      <c r="A2" s="27" t="s">
        <v>0</v>
      </c>
      <c r="B2" s="27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F2" s="30" t="s">
        <v>150</v>
      </c>
    </row>
    <row r="3" spans="1:107" ht="11.1" customHeight="1">
      <c r="C3" s="27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F3" s="32"/>
      <c r="AG3" s="30" t="s">
        <v>148</v>
      </c>
    </row>
    <row r="4" spans="1:107" ht="11.1" customHeight="1">
      <c r="B4" s="95" t="s">
        <v>156</v>
      </c>
      <c r="C4" s="96"/>
      <c r="D4" s="96"/>
      <c r="E4" s="96"/>
      <c r="O4" s="33" t="s">
        <v>1</v>
      </c>
      <c r="P4" s="34"/>
      <c r="Q4" s="35" t="s">
        <v>2</v>
      </c>
      <c r="R4" s="36"/>
      <c r="S4" s="33" t="s">
        <v>3</v>
      </c>
      <c r="T4" s="36"/>
      <c r="U4" s="37" t="s">
        <v>4</v>
      </c>
      <c r="W4" s="29"/>
      <c r="X4" s="29"/>
      <c r="Y4" s="29"/>
      <c r="Z4" s="29"/>
      <c r="AA4" s="29"/>
      <c r="AF4" s="38"/>
      <c r="AG4" s="30" t="s">
        <v>149</v>
      </c>
      <c r="AK4" s="31"/>
      <c r="AM4" s="30"/>
      <c r="AV4" s="31"/>
      <c r="AX4" s="30"/>
      <c r="BG4" s="31"/>
      <c r="BI4" s="30"/>
      <c r="BR4" s="31"/>
      <c r="BT4" s="30"/>
      <c r="CC4" s="31"/>
      <c r="CE4" s="30"/>
      <c r="CN4" s="31"/>
      <c r="CP4" s="30"/>
      <c r="CW4" s="28"/>
      <c r="CX4" s="28"/>
      <c r="CY4" s="28"/>
    </row>
    <row r="5" spans="1:107" ht="11.1" customHeight="1">
      <c r="B5" s="96"/>
      <c r="C5" s="96"/>
      <c r="D5" s="96"/>
      <c r="E5" s="96"/>
      <c r="O5" s="39" t="s">
        <v>5</v>
      </c>
      <c r="P5" s="40"/>
      <c r="Q5" s="41" t="s">
        <v>6</v>
      </c>
      <c r="R5" s="42"/>
      <c r="S5" s="43" t="s">
        <v>158</v>
      </c>
      <c r="T5" s="44"/>
      <c r="U5" s="78">
        <f ca="1">IF(NOW(),COUNTIFS(T:T,"11年目以上",W:W,"5年以上",P:P,"部課長",CZ:CZ,"0"))</f>
        <v>0</v>
      </c>
      <c r="W5" s="29"/>
      <c r="X5" s="29"/>
      <c r="Y5" s="29"/>
      <c r="Z5" s="29"/>
      <c r="AA5" s="29"/>
      <c r="AB5" s="45"/>
      <c r="AC5" s="45"/>
      <c r="AF5" s="46"/>
      <c r="AG5" s="30" t="s">
        <v>154</v>
      </c>
      <c r="AK5" s="31"/>
      <c r="AM5" s="30"/>
      <c r="AV5" s="31"/>
      <c r="AX5" s="30"/>
      <c r="BG5" s="31"/>
      <c r="BI5" s="30"/>
      <c r="BR5" s="31"/>
      <c r="BT5" s="30"/>
      <c r="CC5" s="31"/>
      <c r="CE5" s="30"/>
      <c r="CN5" s="31"/>
      <c r="CP5" s="30"/>
      <c r="CW5" s="28"/>
      <c r="CX5" s="28"/>
      <c r="CY5" s="28"/>
    </row>
    <row r="6" spans="1:107" ht="11.1" customHeight="1">
      <c r="B6" s="96"/>
      <c r="C6" s="96"/>
      <c r="D6" s="96"/>
      <c r="E6" s="96"/>
      <c r="O6" s="47" t="s">
        <v>7</v>
      </c>
      <c r="P6" s="48"/>
      <c r="Q6" s="49"/>
      <c r="R6" s="50"/>
      <c r="S6" s="51" t="s">
        <v>8</v>
      </c>
      <c r="T6" s="52"/>
      <c r="U6" s="79">
        <f ca="1">IF(NOW(),COUNTIFS(T:T,"11年目以上",W:W,"5年以上",P:P,"部課長以外",CZ:CZ,"0"))</f>
        <v>0</v>
      </c>
      <c r="W6" s="29"/>
      <c r="X6" s="29"/>
      <c r="Y6" s="29"/>
      <c r="Z6" s="29"/>
      <c r="AA6" s="29"/>
      <c r="AB6" s="45"/>
      <c r="AC6" s="45"/>
      <c r="AK6" s="31"/>
      <c r="AV6" s="31"/>
      <c r="AX6" s="30"/>
      <c r="BG6" s="31"/>
      <c r="BI6" s="30"/>
      <c r="BR6" s="31"/>
      <c r="BT6" s="30"/>
      <c r="CC6" s="31"/>
      <c r="CE6" s="30"/>
      <c r="CN6" s="31"/>
      <c r="CP6" s="30"/>
      <c r="CW6" s="28"/>
      <c r="CX6" s="28"/>
      <c r="CY6" s="28"/>
    </row>
    <row r="7" spans="1:107" ht="11.1" customHeight="1">
      <c r="B7" s="97" t="s">
        <v>157</v>
      </c>
      <c r="C7" s="97"/>
      <c r="D7" s="97"/>
      <c r="E7" s="97"/>
      <c r="O7" s="53"/>
      <c r="P7" s="48"/>
      <c r="Q7" s="54" t="s">
        <v>9</v>
      </c>
      <c r="R7" s="55"/>
      <c r="S7" s="51" t="s">
        <v>158</v>
      </c>
      <c r="T7" s="52"/>
      <c r="U7" s="79">
        <f ca="1">IF(NOW(),COUNTIFS(T:T,"11年目以上",W:W,"5年未満",P:P,"部課長",CZ:CZ,"0"))</f>
        <v>0</v>
      </c>
      <c r="W7" s="29"/>
      <c r="X7" s="29"/>
      <c r="Y7" s="29"/>
      <c r="Z7" s="29"/>
      <c r="AA7" s="29"/>
      <c r="AB7" s="45"/>
      <c r="AC7" s="45"/>
      <c r="AK7" s="31"/>
      <c r="AM7" s="30"/>
      <c r="AV7" s="31"/>
      <c r="AX7" s="30"/>
      <c r="BG7" s="31"/>
      <c r="BI7" s="30"/>
      <c r="BR7" s="31"/>
      <c r="BT7" s="30"/>
      <c r="CC7" s="31"/>
      <c r="CE7" s="30"/>
      <c r="CN7" s="31"/>
      <c r="CP7" s="30"/>
      <c r="CW7" s="28"/>
      <c r="CX7" s="28"/>
      <c r="CY7" s="28"/>
    </row>
    <row r="8" spans="1:107" ht="11.1" customHeight="1">
      <c r="B8" s="97"/>
      <c r="C8" s="97"/>
      <c r="D8" s="97"/>
      <c r="E8" s="97"/>
      <c r="O8" s="56"/>
      <c r="P8" s="57"/>
      <c r="Q8" s="49"/>
      <c r="R8" s="50"/>
      <c r="S8" s="51" t="s">
        <v>8</v>
      </c>
      <c r="T8" s="52"/>
      <c r="U8" s="79">
        <f ca="1">IF(NOW(),COUNTIFS(T:T,"11年目以上",W:W,"5年未満",P:P,"部課長以外",CZ:CZ,"0"))</f>
        <v>0</v>
      </c>
      <c r="W8" s="29"/>
      <c r="X8" s="29"/>
      <c r="Y8" s="29"/>
      <c r="Z8" s="29"/>
      <c r="AA8" s="29"/>
      <c r="AB8" s="45"/>
      <c r="AC8" s="45"/>
      <c r="AK8" s="31"/>
      <c r="AM8" s="30"/>
      <c r="AV8" s="31"/>
      <c r="AX8" s="30"/>
      <c r="BG8" s="31"/>
      <c r="BI8" s="30"/>
      <c r="BR8" s="31"/>
      <c r="BT8" s="30"/>
      <c r="CC8" s="31"/>
      <c r="CE8" s="30"/>
      <c r="CN8" s="31"/>
      <c r="CP8" s="30"/>
      <c r="CW8" s="28"/>
      <c r="CX8" s="28"/>
      <c r="CY8" s="28"/>
    </row>
    <row r="9" spans="1:107" ht="11.1" customHeight="1">
      <c r="C9" s="27"/>
      <c r="O9" s="51" t="s">
        <v>10</v>
      </c>
      <c r="P9" s="58"/>
      <c r="Q9" s="58"/>
      <c r="R9" s="58"/>
      <c r="S9" s="58"/>
      <c r="T9" s="52"/>
      <c r="U9" s="79">
        <f ca="1">IF(NOW(),COUNTIFS(T:T,"6～10年目",CZ:CZ,"0"))</f>
        <v>0</v>
      </c>
      <c r="W9" s="29"/>
      <c r="X9" s="29"/>
      <c r="Y9" s="29"/>
      <c r="Z9" s="29"/>
      <c r="AA9" s="29"/>
      <c r="AB9" s="45"/>
      <c r="AC9" s="45"/>
      <c r="AK9" s="31"/>
      <c r="AM9" s="30"/>
      <c r="AV9" s="31"/>
      <c r="AX9" s="30"/>
      <c r="BG9" s="31"/>
      <c r="BI9" s="30"/>
      <c r="BR9" s="31"/>
      <c r="BT9" s="30"/>
      <c r="CC9" s="31"/>
      <c r="CE9" s="30"/>
      <c r="CN9" s="31"/>
      <c r="CP9" s="30"/>
      <c r="CW9" s="28"/>
      <c r="CX9" s="28"/>
      <c r="CY9" s="28"/>
    </row>
    <row r="10" spans="1:107" ht="11.1" customHeight="1">
      <c r="C10" s="27"/>
      <c r="O10" s="51" t="s">
        <v>11</v>
      </c>
      <c r="P10" s="58"/>
      <c r="Q10" s="58"/>
      <c r="R10" s="58"/>
      <c r="S10" s="58"/>
      <c r="T10" s="52"/>
      <c r="U10" s="79">
        <f ca="1">IF(NOW(),COUNTIFS(T:T,"1～5年目",CZ:CZ,"0"))</f>
        <v>0</v>
      </c>
      <c r="W10" s="29"/>
      <c r="X10" s="29"/>
      <c r="Y10" s="29"/>
      <c r="Z10" s="29"/>
      <c r="AA10" s="29"/>
      <c r="AB10" s="45"/>
      <c r="AC10" s="45"/>
      <c r="AK10" s="31"/>
      <c r="AM10" s="30"/>
      <c r="AV10" s="31"/>
      <c r="AX10" s="30"/>
      <c r="BG10" s="31"/>
      <c r="BI10" s="30"/>
      <c r="BR10" s="31"/>
      <c r="BT10" s="30"/>
      <c r="CC10" s="31"/>
      <c r="CE10" s="30"/>
      <c r="CN10" s="31"/>
      <c r="CP10" s="30"/>
      <c r="CW10" s="28"/>
      <c r="CX10" s="28"/>
      <c r="CY10" s="28"/>
    </row>
    <row r="11" spans="1:107" ht="11.1" customHeight="1">
      <c r="C11" s="27"/>
      <c r="O11" s="51" t="s">
        <v>69</v>
      </c>
      <c r="P11" s="59"/>
      <c r="Q11" s="59"/>
      <c r="R11" s="59"/>
      <c r="S11" s="59"/>
      <c r="T11" s="60"/>
      <c r="U11" s="79">
        <f ca="1">IF(NOW(),COUNTIF(CZ:CZ,"1"))</f>
        <v>0</v>
      </c>
      <c r="W11" s="29"/>
      <c r="X11" s="29"/>
      <c r="Y11" s="29"/>
      <c r="Z11" s="29"/>
      <c r="AA11" s="29"/>
      <c r="AB11" s="45"/>
      <c r="AC11" s="45"/>
      <c r="AK11" s="31"/>
      <c r="AM11" s="30"/>
      <c r="AV11" s="31"/>
      <c r="AX11" s="30"/>
      <c r="BG11" s="31"/>
      <c r="BI11" s="30"/>
      <c r="BR11" s="31"/>
      <c r="BT11" s="30"/>
      <c r="CC11" s="31"/>
      <c r="CE11" s="30"/>
      <c r="CN11" s="31"/>
      <c r="CP11" s="30"/>
      <c r="CW11" s="28"/>
      <c r="CX11" s="28"/>
      <c r="CY11" s="28"/>
    </row>
    <row r="12" spans="1:107" ht="11.1" customHeight="1">
      <c r="C12" s="27"/>
      <c r="O12" s="98" t="s">
        <v>12</v>
      </c>
      <c r="P12" s="99"/>
      <c r="Q12" s="99"/>
      <c r="R12" s="99"/>
      <c r="S12" s="99"/>
      <c r="T12" s="100"/>
      <c r="U12" s="79">
        <f ca="1">IF(NOW(),SUM(U5:U11))</f>
        <v>0</v>
      </c>
      <c r="W12" s="29"/>
      <c r="X12" s="29"/>
      <c r="Y12" s="29"/>
      <c r="Z12" s="29"/>
      <c r="AA12" s="29"/>
      <c r="AB12" s="45"/>
      <c r="AC12" s="45"/>
      <c r="AK12" s="31"/>
      <c r="AM12" s="30"/>
      <c r="AV12" s="31"/>
      <c r="AX12" s="30"/>
      <c r="BG12" s="31"/>
      <c r="BI12" s="30"/>
      <c r="BR12" s="31"/>
      <c r="BT12" s="30"/>
      <c r="CC12" s="31"/>
      <c r="CE12" s="30"/>
      <c r="CN12" s="31"/>
      <c r="CP12" s="30"/>
      <c r="CW12" s="28"/>
      <c r="CX12" s="28"/>
      <c r="CY12" s="28"/>
    </row>
    <row r="13" spans="1:107" s="61" customFormat="1" ht="11.1" customHeight="1">
      <c r="AH13" s="62"/>
      <c r="AM13" s="117" t="s">
        <v>142</v>
      </c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 t="s">
        <v>143</v>
      </c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  <c r="BI13" s="117" t="s">
        <v>144</v>
      </c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 t="s">
        <v>145</v>
      </c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7" t="s">
        <v>146</v>
      </c>
      <c r="CF13" s="117"/>
      <c r="CG13" s="117"/>
      <c r="CH13" s="117"/>
      <c r="CI13" s="117"/>
      <c r="CJ13" s="117"/>
      <c r="CK13" s="117"/>
      <c r="CL13" s="117"/>
      <c r="CM13" s="117"/>
      <c r="CN13" s="117"/>
      <c r="CO13" s="117"/>
      <c r="CP13" s="117" t="s">
        <v>147</v>
      </c>
      <c r="CQ13" s="117"/>
      <c r="CR13" s="117"/>
      <c r="CS13" s="117"/>
      <c r="CT13" s="117"/>
      <c r="CU13" s="117"/>
      <c r="CV13" s="117"/>
      <c r="CW13" s="117"/>
      <c r="CX13" s="117"/>
      <c r="CY13" s="62"/>
      <c r="CZ13" s="81"/>
    </row>
    <row r="14" spans="1:107" s="61" customFormat="1" ht="22.5" customHeight="1">
      <c r="B14" s="101" t="s">
        <v>13</v>
      </c>
      <c r="C14" s="101" t="s">
        <v>14</v>
      </c>
      <c r="D14" s="103" t="s">
        <v>15</v>
      </c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5"/>
      <c r="T14" s="106" t="s">
        <v>16</v>
      </c>
      <c r="U14" s="111" t="s">
        <v>17</v>
      </c>
      <c r="V14" s="112"/>
      <c r="W14" s="113"/>
      <c r="X14" s="114" t="s">
        <v>18</v>
      </c>
      <c r="Y14" s="114"/>
      <c r="Z14" s="114"/>
      <c r="AA14" s="114"/>
      <c r="AB14" s="114"/>
      <c r="AC14" s="114"/>
      <c r="AD14" s="114"/>
      <c r="AE14" s="114"/>
      <c r="AF14" s="115" t="s">
        <v>21</v>
      </c>
      <c r="AG14" s="115"/>
      <c r="AH14" s="116" t="s">
        <v>19</v>
      </c>
      <c r="AI14" s="116"/>
      <c r="AJ14" s="116" t="s">
        <v>20</v>
      </c>
      <c r="AK14" s="116"/>
      <c r="AL14" s="116" t="s">
        <v>70</v>
      </c>
      <c r="AM14" s="108" t="s">
        <v>84</v>
      </c>
      <c r="AN14" s="108"/>
      <c r="AO14" s="108"/>
      <c r="AP14" s="109" t="s">
        <v>71</v>
      </c>
      <c r="AQ14" s="109"/>
      <c r="AR14" s="109"/>
      <c r="AS14" s="109"/>
      <c r="AT14" s="109"/>
      <c r="AU14" s="109"/>
      <c r="AV14" s="109"/>
      <c r="AW14" s="110"/>
      <c r="AX14" s="108" t="s">
        <v>85</v>
      </c>
      <c r="AY14" s="108"/>
      <c r="AZ14" s="108"/>
      <c r="BA14" s="128" t="s">
        <v>72</v>
      </c>
      <c r="BB14" s="109"/>
      <c r="BC14" s="109"/>
      <c r="BD14" s="109"/>
      <c r="BE14" s="109"/>
      <c r="BF14" s="109"/>
      <c r="BG14" s="109"/>
      <c r="BH14" s="110"/>
      <c r="BI14" s="108" t="s">
        <v>86</v>
      </c>
      <c r="BJ14" s="108"/>
      <c r="BK14" s="108"/>
      <c r="BL14" s="109" t="s">
        <v>73</v>
      </c>
      <c r="BM14" s="109"/>
      <c r="BN14" s="109"/>
      <c r="BO14" s="109"/>
      <c r="BP14" s="109"/>
      <c r="BQ14" s="109"/>
      <c r="BR14" s="109"/>
      <c r="BS14" s="110"/>
      <c r="BT14" s="108" t="s">
        <v>74</v>
      </c>
      <c r="BU14" s="108"/>
      <c r="BV14" s="108"/>
      <c r="BW14" s="108" t="s">
        <v>75</v>
      </c>
      <c r="BX14" s="108"/>
      <c r="BY14" s="108"/>
      <c r="BZ14" s="108"/>
      <c r="CA14" s="108"/>
      <c r="CB14" s="108"/>
      <c r="CC14" s="108"/>
      <c r="CD14" s="108"/>
      <c r="CE14" s="108" t="s">
        <v>87</v>
      </c>
      <c r="CF14" s="108"/>
      <c r="CG14" s="108"/>
      <c r="CH14" s="109" t="s">
        <v>88</v>
      </c>
      <c r="CI14" s="109"/>
      <c r="CJ14" s="109"/>
      <c r="CK14" s="109"/>
      <c r="CL14" s="109"/>
      <c r="CM14" s="109"/>
      <c r="CN14" s="109"/>
      <c r="CO14" s="110"/>
      <c r="CP14" s="128" t="s">
        <v>76</v>
      </c>
      <c r="CQ14" s="110"/>
      <c r="CR14" s="128" t="s">
        <v>77</v>
      </c>
      <c r="CS14" s="109"/>
      <c r="CT14" s="109"/>
      <c r="CU14" s="109"/>
      <c r="CV14" s="109"/>
      <c r="CW14" s="109"/>
      <c r="CX14" s="110"/>
      <c r="CY14" s="118" t="s">
        <v>78</v>
      </c>
      <c r="CZ14" s="82"/>
      <c r="DA14" s="63"/>
      <c r="DB14" s="63"/>
      <c r="DC14" s="63"/>
    </row>
    <row r="15" spans="1:107" s="61" customFormat="1" ht="22.5">
      <c r="B15" s="102"/>
      <c r="C15" s="102"/>
      <c r="D15" s="64" t="s">
        <v>22</v>
      </c>
      <c r="E15" s="65" t="s">
        <v>23</v>
      </c>
      <c r="F15" s="65" t="s">
        <v>24</v>
      </c>
      <c r="G15" s="65" t="s">
        <v>25</v>
      </c>
      <c r="H15" s="64" t="s">
        <v>26</v>
      </c>
      <c r="I15" s="65" t="s">
        <v>27</v>
      </c>
      <c r="J15" s="65" t="s">
        <v>28</v>
      </c>
      <c r="K15" s="65" t="s">
        <v>29</v>
      </c>
      <c r="L15" s="64" t="s">
        <v>30</v>
      </c>
      <c r="M15" s="64" t="s">
        <v>79</v>
      </c>
      <c r="N15" s="65" t="s">
        <v>31</v>
      </c>
      <c r="O15" s="65" t="s">
        <v>32</v>
      </c>
      <c r="P15" s="65" t="s">
        <v>33</v>
      </c>
      <c r="Q15" s="64" t="s">
        <v>34</v>
      </c>
      <c r="R15" s="64" t="s">
        <v>35</v>
      </c>
      <c r="S15" s="64" t="s">
        <v>36</v>
      </c>
      <c r="T15" s="107"/>
      <c r="U15" s="66" t="s">
        <v>37</v>
      </c>
      <c r="V15" s="66" t="s">
        <v>38</v>
      </c>
      <c r="W15" s="66" t="s">
        <v>39</v>
      </c>
      <c r="X15" s="67" t="s">
        <v>40</v>
      </c>
      <c r="Y15" s="68" t="s">
        <v>41</v>
      </c>
      <c r="Z15" s="68" t="s">
        <v>42</v>
      </c>
      <c r="AA15" s="69" t="s">
        <v>43</v>
      </c>
      <c r="AB15" s="67" t="s">
        <v>44</v>
      </c>
      <c r="AC15" s="67" t="s">
        <v>45</v>
      </c>
      <c r="AD15" s="66" t="s">
        <v>46</v>
      </c>
      <c r="AE15" s="67" t="s">
        <v>47</v>
      </c>
      <c r="AF15" s="70" t="s">
        <v>52</v>
      </c>
      <c r="AG15" s="70" t="s">
        <v>53</v>
      </c>
      <c r="AH15" s="71" t="s">
        <v>48</v>
      </c>
      <c r="AI15" s="71" t="s">
        <v>49</v>
      </c>
      <c r="AJ15" s="71" t="s">
        <v>50</v>
      </c>
      <c r="AK15" s="71" t="s">
        <v>51</v>
      </c>
      <c r="AL15" s="116"/>
      <c r="AM15" s="72" t="s">
        <v>68</v>
      </c>
      <c r="AN15" s="73" t="s">
        <v>80</v>
      </c>
      <c r="AO15" s="73" t="s">
        <v>81</v>
      </c>
      <c r="AP15" s="73" t="s">
        <v>82</v>
      </c>
      <c r="AQ15" s="73" t="s">
        <v>41</v>
      </c>
      <c r="AR15" s="73" t="s">
        <v>42</v>
      </c>
      <c r="AS15" s="74" t="s">
        <v>43</v>
      </c>
      <c r="AT15" s="74" t="s">
        <v>44</v>
      </c>
      <c r="AU15" s="74" t="s">
        <v>45</v>
      </c>
      <c r="AV15" s="73" t="s">
        <v>46</v>
      </c>
      <c r="AW15" s="74" t="s">
        <v>47</v>
      </c>
      <c r="AX15" s="73" t="s">
        <v>68</v>
      </c>
      <c r="AY15" s="73" t="s">
        <v>80</v>
      </c>
      <c r="AZ15" s="73" t="s">
        <v>81</v>
      </c>
      <c r="BA15" s="73" t="s">
        <v>82</v>
      </c>
      <c r="BB15" s="73" t="s">
        <v>41</v>
      </c>
      <c r="BC15" s="73" t="s">
        <v>42</v>
      </c>
      <c r="BD15" s="74" t="s">
        <v>43</v>
      </c>
      <c r="BE15" s="74" t="s">
        <v>44</v>
      </c>
      <c r="BF15" s="74" t="s">
        <v>45</v>
      </c>
      <c r="BG15" s="73" t="s">
        <v>46</v>
      </c>
      <c r="BH15" s="74" t="s">
        <v>47</v>
      </c>
      <c r="BI15" s="73" t="s">
        <v>68</v>
      </c>
      <c r="BJ15" s="73" t="s">
        <v>80</v>
      </c>
      <c r="BK15" s="73" t="s">
        <v>81</v>
      </c>
      <c r="BL15" s="73" t="s">
        <v>82</v>
      </c>
      <c r="BM15" s="73" t="s">
        <v>41</v>
      </c>
      <c r="BN15" s="73" t="s">
        <v>42</v>
      </c>
      <c r="BO15" s="74" t="s">
        <v>43</v>
      </c>
      <c r="BP15" s="74" t="s">
        <v>44</v>
      </c>
      <c r="BQ15" s="74" t="s">
        <v>45</v>
      </c>
      <c r="BR15" s="73" t="s">
        <v>46</v>
      </c>
      <c r="BS15" s="74" t="s">
        <v>47</v>
      </c>
      <c r="BT15" s="73" t="s">
        <v>68</v>
      </c>
      <c r="BU15" s="73" t="s">
        <v>80</v>
      </c>
      <c r="BV15" s="73" t="s">
        <v>81</v>
      </c>
      <c r="BW15" s="73" t="s">
        <v>82</v>
      </c>
      <c r="BX15" s="73" t="s">
        <v>41</v>
      </c>
      <c r="BY15" s="73" t="s">
        <v>42</v>
      </c>
      <c r="BZ15" s="74" t="s">
        <v>43</v>
      </c>
      <c r="CA15" s="74" t="s">
        <v>44</v>
      </c>
      <c r="CB15" s="74" t="s">
        <v>45</v>
      </c>
      <c r="CC15" s="73" t="s">
        <v>46</v>
      </c>
      <c r="CD15" s="74" t="s">
        <v>47</v>
      </c>
      <c r="CE15" s="73" t="s">
        <v>68</v>
      </c>
      <c r="CF15" s="73" t="s">
        <v>80</v>
      </c>
      <c r="CG15" s="73" t="s">
        <v>81</v>
      </c>
      <c r="CH15" s="73" t="s">
        <v>82</v>
      </c>
      <c r="CI15" s="73" t="s">
        <v>41</v>
      </c>
      <c r="CJ15" s="73" t="s">
        <v>42</v>
      </c>
      <c r="CK15" s="74" t="s">
        <v>43</v>
      </c>
      <c r="CL15" s="74" t="s">
        <v>44</v>
      </c>
      <c r="CM15" s="74" t="s">
        <v>45</v>
      </c>
      <c r="CN15" s="73" t="s">
        <v>46</v>
      </c>
      <c r="CO15" s="74" t="s">
        <v>47</v>
      </c>
      <c r="CP15" s="73" t="s">
        <v>68</v>
      </c>
      <c r="CQ15" s="73" t="s">
        <v>81</v>
      </c>
      <c r="CR15" s="73" t="s">
        <v>41</v>
      </c>
      <c r="CS15" s="73" t="s">
        <v>42</v>
      </c>
      <c r="CT15" s="74" t="s">
        <v>43</v>
      </c>
      <c r="CU15" s="74" t="s">
        <v>44</v>
      </c>
      <c r="CV15" s="74" t="s">
        <v>45</v>
      </c>
      <c r="CW15" s="73" t="s">
        <v>46</v>
      </c>
      <c r="CX15" s="74" t="s">
        <v>47</v>
      </c>
      <c r="CY15" s="119"/>
      <c r="CZ15" s="82"/>
      <c r="DA15" s="63"/>
      <c r="DB15" s="63"/>
      <c r="DC15" s="63"/>
    </row>
    <row r="16" spans="1:107" s="75" customFormat="1" ht="27" hidden="1" customHeight="1">
      <c r="B16" s="76" t="s">
        <v>159</v>
      </c>
      <c r="C16" s="76"/>
      <c r="D16" s="120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2"/>
      <c r="T16" s="123"/>
      <c r="U16" s="124"/>
      <c r="V16" s="124"/>
      <c r="W16" s="125"/>
      <c r="X16" s="123"/>
      <c r="Y16" s="126"/>
      <c r="Z16" s="126"/>
      <c r="AA16" s="126"/>
      <c r="AB16" s="126"/>
      <c r="AC16" s="126"/>
      <c r="AD16" s="126"/>
      <c r="AE16" s="127"/>
      <c r="AF16" s="76"/>
      <c r="AG16" s="76"/>
      <c r="AH16" s="123"/>
      <c r="AI16" s="125"/>
      <c r="AJ16" s="123"/>
      <c r="AK16" s="125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76"/>
      <c r="CU16" s="76"/>
      <c r="CV16" s="76"/>
      <c r="CW16" s="76"/>
      <c r="CX16" s="76"/>
      <c r="CY16" s="76"/>
      <c r="CZ16" s="83"/>
    </row>
    <row r="17" spans="2:104">
      <c r="B17" s="77" t="s">
        <v>151</v>
      </c>
      <c r="C17" s="17" t="s">
        <v>152</v>
      </c>
      <c r="D17" s="18" t="s">
        <v>152</v>
      </c>
      <c r="E17" s="19" t="s">
        <v>152</v>
      </c>
      <c r="F17" s="19" t="s">
        <v>152</v>
      </c>
      <c r="G17" s="19" t="s">
        <v>152</v>
      </c>
      <c r="H17" s="19" t="s">
        <v>152</v>
      </c>
      <c r="I17" s="19" t="s">
        <v>152</v>
      </c>
      <c r="J17" s="19" t="s">
        <v>152</v>
      </c>
      <c r="K17" s="19" t="s">
        <v>152</v>
      </c>
      <c r="L17" s="19" t="s">
        <v>152</v>
      </c>
      <c r="M17" s="19" t="s">
        <v>152</v>
      </c>
      <c r="N17" s="19" t="s">
        <v>152</v>
      </c>
      <c r="O17" s="19" t="s">
        <v>152</v>
      </c>
      <c r="P17" s="19" t="s">
        <v>152</v>
      </c>
      <c r="Q17" s="19" t="s">
        <v>152</v>
      </c>
      <c r="R17" s="20" t="s">
        <v>152</v>
      </c>
      <c r="S17" s="24" t="s">
        <v>152</v>
      </c>
      <c r="T17" s="26" t="s">
        <v>152</v>
      </c>
      <c r="U17" s="22" t="s">
        <v>152</v>
      </c>
      <c r="V17" s="24" t="s">
        <v>152</v>
      </c>
      <c r="W17" s="21" t="s">
        <v>152</v>
      </c>
      <c r="X17" s="22" t="s">
        <v>152</v>
      </c>
      <c r="Y17" s="23" t="s">
        <v>152</v>
      </c>
      <c r="Z17" s="23" t="s">
        <v>152</v>
      </c>
      <c r="AA17" s="23" t="s">
        <v>152</v>
      </c>
      <c r="AB17" s="23" t="s">
        <v>152</v>
      </c>
      <c r="AC17" s="23" t="s">
        <v>152</v>
      </c>
      <c r="AD17" s="24" t="s">
        <v>152</v>
      </c>
      <c r="AE17" s="21" t="s">
        <v>152</v>
      </c>
      <c r="AF17" s="25" t="s">
        <v>152</v>
      </c>
      <c r="AG17" s="21" t="s">
        <v>152</v>
      </c>
      <c r="AH17" s="25" t="s">
        <v>152</v>
      </c>
      <c r="AI17" s="21" t="s">
        <v>152</v>
      </c>
      <c r="AJ17" s="25" t="s">
        <v>152</v>
      </c>
      <c r="AK17" s="24" t="s">
        <v>152</v>
      </c>
      <c r="AL17" s="26" t="s">
        <v>152</v>
      </c>
      <c r="AM17" s="90" t="s">
        <v>152</v>
      </c>
      <c r="AN17" s="24" t="s">
        <v>152</v>
      </c>
      <c r="AO17" s="21" t="s">
        <v>152</v>
      </c>
      <c r="AP17" s="22" t="s">
        <v>152</v>
      </c>
      <c r="AQ17" s="23" t="s">
        <v>152</v>
      </c>
      <c r="AR17" s="23" t="s">
        <v>152</v>
      </c>
      <c r="AS17" s="23" t="s">
        <v>152</v>
      </c>
      <c r="AT17" s="23" t="s">
        <v>152</v>
      </c>
      <c r="AU17" s="23" t="s">
        <v>152</v>
      </c>
      <c r="AV17" s="24" t="s">
        <v>152</v>
      </c>
      <c r="AW17" s="21" t="s">
        <v>152</v>
      </c>
      <c r="AX17" s="90" t="s">
        <v>152</v>
      </c>
      <c r="AY17" s="24" t="s">
        <v>152</v>
      </c>
      <c r="AZ17" s="21" t="s">
        <v>152</v>
      </c>
      <c r="BA17" s="22" t="s">
        <v>152</v>
      </c>
      <c r="BB17" s="23" t="s">
        <v>152</v>
      </c>
      <c r="BC17" s="23" t="s">
        <v>152</v>
      </c>
      <c r="BD17" s="23" t="s">
        <v>152</v>
      </c>
      <c r="BE17" s="23" t="s">
        <v>152</v>
      </c>
      <c r="BF17" s="23" t="s">
        <v>152</v>
      </c>
      <c r="BG17" s="24" t="s">
        <v>152</v>
      </c>
      <c r="BH17" s="21" t="s">
        <v>152</v>
      </c>
      <c r="BI17" s="90" t="s">
        <v>152</v>
      </c>
      <c r="BJ17" s="24" t="s">
        <v>152</v>
      </c>
      <c r="BK17" s="21" t="s">
        <v>152</v>
      </c>
      <c r="BL17" s="22" t="s">
        <v>152</v>
      </c>
      <c r="BM17" s="23" t="s">
        <v>152</v>
      </c>
      <c r="BN17" s="23" t="s">
        <v>152</v>
      </c>
      <c r="BO17" s="23" t="s">
        <v>152</v>
      </c>
      <c r="BP17" s="23" t="s">
        <v>152</v>
      </c>
      <c r="BQ17" s="23" t="s">
        <v>152</v>
      </c>
      <c r="BR17" s="24" t="s">
        <v>152</v>
      </c>
      <c r="BS17" s="21" t="s">
        <v>152</v>
      </c>
      <c r="BT17" s="90" t="s">
        <v>152</v>
      </c>
      <c r="BU17" s="24" t="s">
        <v>152</v>
      </c>
      <c r="BV17" s="21" t="s">
        <v>152</v>
      </c>
      <c r="BW17" s="22" t="s">
        <v>152</v>
      </c>
      <c r="BX17" s="23" t="s">
        <v>152</v>
      </c>
      <c r="BY17" s="23" t="s">
        <v>152</v>
      </c>
      <c r="BZ17" s="23" t="s">
        <v>152</v>
      </c>
      <c r="CA17" s="23" t="s">
        <v>152</v>
      </c>
      <c r="CB17" s="23" t="s">
        <v>152</v>
      </c>
      <c r="CC17" s="24" t="s">
        <v>152</v>
      </c>
      <c r="CD17" s="21" t="s">
        <v>152</v>
      </c>
      <c r="CE17" s="90" t="s">
        <v>152</v>
      </c>
      <c r="CF17" s="24" t="s">
        <v>152</v>
      </c>
      <c r="CG17" s="21" t="s">
        <v>152</v>
      </c>
      <c r="CH17" s="22" t="s">
        <v>152</v>
      </c>
      <c r="CI17" s="23" t="s">
        <v>152</v>
      </c>
      <c r="CJ17" s="23" t="s">
        <v>152</v>
      </c>
      <c r="CK17" s="23" t="s">
        <v>152</v>
      </c>
      <c r="CL17" s="23" t="s">
        <v>152</v>
      </c>
      <c r="CM17" s="23" t="s">
        <v>152</v>
      </c>
      <c r="CN17" s="24" t="s">
        <v>152</v>
      </c>
      <c r="CO17" s="21" t="s">
        <v>152</v>
      </c>
      <c r="CP17" s="91" t="s">
        <v>152</v>
      </c>
      <c r="CQ17" s="21" t="s">
        <v>152</v>
      </c>
      <c r="CR17" s="22" t="s">
        <v>152</v>
      </c>
      <c r="CS17" s="23" t="s">
        <v>152</v>
      </c>
      <c r="CT17" s="23" t="s">
        <v>152</v>
      </c>
      <c r="CU17" s="23" t="s">
        <v>152</v>
      </c>
      <c r="CV17" s="23" t="s">
        <v>152</v>
      </c>
      <c r="CW17" s="24" t="s">
        <v>152</v>
      </c>
      <c r="CX17" s="21" t="s">
        <v>152</v>
      </c>
      <c r="CY17" s="92" t="s">
        <v>152</v>
      </c>
      <c r="CZ17" s="80" t="s">
        <v>155</v>
      </c>
    </row>
  </sheetData>
  <sheetProtection formatColumns="0"/>
  <mergeCells count="37">
    <mergeCell ref="AX13:BH13"/>
    <mergeCell ref="BI13:BS13"/>
    <mergeCell ref="BT13:CD13"/>
    <mergeCell ref="CE13:CO13"/>
    <mergeCell ref="CP13:CX13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B4:E6"/>
    <mergeCell ref="B7:E8"/>
    <mergeCell ref="O12:T12"/>
    <mergeCell ref="B14:B15"/>
    <mergeCell ref="C14:C15"/>
    <mergeCell ref="D14:S14"/>
    <mergeCell ref="T14:T15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238125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E1C29E2-E42D-4683-A494-B2282531B28F}">
          <x14:formula1>
            <xm:f>master!$C$4:$C$9</xm:f>
          </x14:formula1>
          <xm:sqref>AH17:AH1048576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AI17:AI1048576</xm:sqref>
        </x14:dataValidation>
        <x14:dataValidation type="list" allowBlank="1" showInputMessage="1" showErrorMessage="1" xr:uid="{8E57F103-BE63-4DDF-853E-BEAD3848159A}">
          <x14:formula1>
            <xm:f>master!$E$4:$E$9</xm:f>
          </x14:formula1>
          <xm:sqref>AJ17:AJ1048576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BI17:BJ1048576 BT17:BU1048576 CE17:CF1048576 AM17:AN1048576 CP17:CP1048576 AX17:AY1048576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BM17:BM1048576 BX17:BX1048576 CI17:CI1048576 AQ17:AQ1048576 CR17:CR1048576 BB17:BB1048576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BN17:BN1048576 BY17:BY1048576 CJ17:CJ1048576 AR17:AR1048576 CS17:CS1048576 BC17:BC1048576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BO17:BO1048576 BZ17:BZ1048576 CK17:CK1048576 AS17:AS1048576 BD17:BD1048576 CT17:CT1048576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BR17:BR1048576 CC17:CC1048576 CN17:CN1048576 AV17:AV1048576 BG17:BG1048576 CW17:CW1048576</xm:sqref>
        </x14:dataValidation>
        <x14:dataValidation type="list" allowBlank="1" showInputMessage="1" showErrorMessage="1" xr:uid="{F2F6FE5E-3D69-46EF-B991-4885F0EABC89}">
          <x14:formula1>
            <xm:f>master!$B$4:$B$16</xm:f>
          </x14:formula1>
          <xm:sqref>AP17:AP1048576 BA17:BA1048576 BL15:BL1048576 BW15:BW1048576 CH15:CH1048576 AF17:AF1048576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4"/>
  <sheetViews>
    <sheetView workbookViewId="0"/>
  </sheetViews>
  <sheetFormatPr defaultRowHeight="14.25"/>
  <cols>
    <col min="1" max="1" width="4.625" style="85" customWidth="1"/>
    <col min="2" max="2" width="11.375" style="85" bestFit="1" customWidth="1"/>
    <col min="3" max="3" width="11.375" style="85" customWidth="1"/>
    <col min="4" max="4" width="16.625" style="85" customWidth="1"/>
    <col min="5" max="5" width="25.625" style="85" customWidth="1"/>
    <col min="6" max="6" width="13.625" style="85" customWidth="1"/>
    <col min="7" max="7" width="114.25" style="85" customWidth="1"/>
    <col min="8" max="16384" width="9" style="85"/>
  </cols>
  <sheetData>
    <row r="1" spans="1:7">
      <c r="A1" s="84" t="s">
        <v>65</v>
      </c>
    </row>
    <row r="2" spans="1:7" s="87" customFormat="1">
      <c r="A2" s="86"/>
      <c r="B2" s="87" t="s">
        <v>138</v>
      </c>
    </row>
    <row r="3" spans="1:7">
      <c r="B3" s="88" t="s">
        <v>137</v>
      </c>
      <c r="C3" s="88" t="s">
        <v>139</v>
      </c>
      <c r="D3" s="88" t="s">
        <v>140</v>
      </c>
      <c r="E3" s="88" t="s">
        <v>66</v>
      </c>
      <c r="F3" s="88" t="s">
        <v>141</v>
      </c>
      <c r="G3" s="88" t="s">
        <v>67</v>
      </c>
    </row>
    <row r="4" spans="1:7">
      <c r="B4" s="89"/>
      <c r="C4" s="89"/>
      <c r="D4" s="89"/>
      <c r="E4" s="89"/>
      <c r="F4" s="89"/>
      <c r="G4" s="89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C19" sqref="C19"/>
    </sheetView>
  </sheetViews>
  <sheetFormatPr defaultRowHeight="14.25"/>
  <cols>
    <col min="1" max="1" width="2.5" style="15" customWidth="1"/>
    <col min="2" max="2" width="25" style="15" bestFit="1" customWidth="1"/>
    <col min="3" max="3" width="20.75" style="15" bestFit="1" customWidth="1"/>
    <col min="4" max="4" width="19" style="15" bestFit="1" customWidth="1"/>
    <col min="5" max="5" width="20.75" style="15" bestFit="1" customWidth="1"/>
    <col min="6" max="6" width="19" style="15" bestFit="1" customWidth="1"/>
    <col min="7" max="7" width="9" style="15"/>
    <col min="8" max="8" width="15" style="15" bestFit="1" customWidth="1"/>
    <col min="9" max="9" width="16.75" style="15" bestFit="1" customWidth="1"/>
    <col min="10" max="10" width="15" style="15" bestFit="1" customWidth="1"/>
    <col min="11" max="11" width="18.625" style="15" bestFit="1" customWidth="1"/>
    <col min="12" max="16384" width="9" style="15"/>
  </cols>
  <sheetData>
    <row r="1" spans="1:11">
      <c r="A1" s="15" t="s">
        <v>83</v>
      </c>
    </row>
    <row r="3" spans="1:11">
      <c r="B3" s="15" t="s">
        <v>118</v>
      </c>
      <c r="C3" s="15" t="s">
        <v>101</v>
      </c>
      <c r="D3" s="15" t="s">
        <v>108</v>
      </c>
      <c r="E3" s="15" t="s">
        <v>111</v>
      </c>
      <c r="F3" s="15" t="s">
        <v>112</v>
      </c>
      <c r="G3" s="15" t="s">
        <v>116</v>
      </c>
      <c r="H3" s="15" t="s">
        <v>119</v>
      </c>
      <c r="I3" s="15" t="s">
        <v>126</v>
      </c>
      <c r="J3" s="15" t="s">
        <v>129</v>
      </c>
      <c r="K3" s="15" t="s">
        <v>134</v>
      </c>
    </row>
    <row r="5" spans="1:11">
      <c r="B5" s="16" t="s">
        <v>90</v>
      </c>
      <c r="C5" s="16" t="s">
        <v>102</v>
      </c>
      <c r="D5" s="15" t="s">
        <v>109</v>
      </c>
      <c r="E5" s="16" t="s">
        <v>103</v>
      </c>
      <c r="F5" s="15" t="s">
        <v>113</v>
      </c>
      <c r="G5" s="15" t="s">
        <v>117</v>
      </c>
      <c r="H5" s="15" t="s">
        <v>120</v>
      </c>
      <c r="I5" s="15" t="s">
        <v>120</v>
      </c>
      <c r="J5" s="15" t="s">
        <v>120</v>
      </c>
      <c r="K5" s="15" t="s">
        <v>135</v>
      </c>
    </row>
    <row r="6" spans="1:11">
      <c r="B6" s="16" t="s">
        <v>91</v>
      </c>
      <c r="C6" s="16" t="s">
        <v>103</v>
      </c>
      <c r="D6" s="15" t="s">
        <v>110</v>
      </c>
      <c r="E6" s="16" t="s">
        <v>104</v>
      </c>
      <c r="F6" s="15" t="s">
        <v>114</v>
      </c>
      <c r="H6" s="15" t="s">
        <v>121</v>
      </c>
      <c r="I6" s="15" t="s">
        <v>127</v>
      </c>
      <c r="J6" s="15" t="s">
        <v>130</v>
      </c>
      <c r="K6" s="15" t="s">
        <v>136</v>
      </c>
    </row>
    <row r="7" spans="1:11">
      <c r="B7" s="16" t="s">
        <v>92</v>
      </c>
      <c r="C7" s="16" t="s">
        <v>104</v>
      </c>
      <c r="E7" s="16" t="s">
        <v>105</v>
      </c>
      <c r="F7" s="15" t="s">
        <v>115</v>
      </c>
      <c r="H7" s="15" t="s">
        <v>122</v>
      </c>
      <c r="I7" s="15" t="s">
        <v>128</v>
      </c>
      <c r="J7" s="15" t="s">
        <v>131</v>
      </c>
    </row>
    <row r="8" spans="1:11">
      <c r="B8" s="16" t="s">
        <v>93</v>
      </c>
      <c r="C8" s="16" t="s">
        <v>105</v>
      </c>
      <c r="E8" s="16" t="s">
        <v>106</v>
      </c>
      <c r="H8" s="15" t="s">
        <v>123</v>
      </c>
      <c r="I8" s="15" t="s">
        <v>125</v>
      </c>
      <c r="J8" s="15" t="s">
        <v>132</v>
      </c>
    </row>
    <row r="9" spans="1:11">
      <c r="B9" s="16" t="s">
        <v>94</v>
      </c>
      <c r="C9" s="16" t="s">
        <v>106</v>
      </c>
      <c r="E9" s="16" t="s">
        <v>107</v>
      </c>
      <c r="H9" s="15" t="s">
        <v>124</v>
      </c>
      <c r="J9" s="15" t="s">
        <v>133</v>
      </c>
    </row>
    <row r="10" spans="1:11">
      <c r="B10" s="16" t="s">
        <v>95</v>
      </c>
      <c r="C10" s="16"/>
      <c r="E10" s="16"/>
      <c r="H10" s="15" t="s">
        <v>125</v>
      </c>
    </row>
    <row r="11" spans="1:11">
      <c r="B11" s="16" t="s">
        <v>96</v>
      </c>
    </row>
    <row r="12" spans="1:11">
      <c r="B12" s="16" t="s">
        <v>97</v>
      </c>
    </row>
    <row r="13" spans="1:11">
      <c r="B13" s="16" t="s">
        <v>98</v>
      </c>
    </row>
    <row r="14" spans="1:11">
      <c r="B14" s="16" t="s">
        <v>99</v>
      </c>
    </row>
    <row r="15" spans="1:11">
      <c r="B15" s="16" t="s">
        <v>100</v>
      </c>
    </row>
    <row r="16" spans="1:11">
      <c r="B16" s="16" t="s">
        <v>89</v>
      </c>
    </row>
    <row r="17" spans="2:2">
      <c r="B17" s="1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警告</vt:lpstr>
      <vt:lpstr>人材育成計画</vt:lpstr>
      <vt:lpstr>チェック結果</vt:lpstr>
      <vt:lpstr>master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71288842</cp:lastModifiedBy>
  <dcterms:created xsi:type="dcterms:W3CDTF">2014-10-21T06:14:28Z</dcterms:created>
  <dcterms:modified xsi:type="dcterms:W3CDTF">2019-02-08T01:10:00Z</dcterms:modified>
</cp:coreProperties>
</file>