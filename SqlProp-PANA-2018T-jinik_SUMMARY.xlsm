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1288842\Desktop\パナソニック-SVN\cdrom\Lysithea\Career\Sheet\exceltemplate\"/>
    </mc:Choice>
  </mc:AlternateContent>
  <xr:revisionPtr revIDLastSave="0" documentId="13_ncr:1_{67965257-3FF8-4AD8-A7D4-29DB18783882}" xr6:coauthVersionLast="38" xr6:coauthVersionMax="38" xr10:uidLastSave="{00000000-0000-0000-0000-000000000000}"/>
  <workbookProtection workbookPassword="B6FF" lockStructure="1"/>
  <bookViews>
    <workbookView xWindow="-15" yWindow="-15" windowWidth="19440" windowHeight="10500" firstSheet="1" activeTab="1" xr2:uid="{00000000-000D-0000-FFFF-FFFF00000000}"/>
  </bookViews>
  <sheets>
    <sheet name="警告" sheetId="18" state="hidden" r:id="rId1"/>
    <sheet name="人材育成計画" sheetId="20" r:id="rId2"/>
    <sheet name="チェック結果" sheetId="19" r:id="rId3"/>
    <sheet name="master" sheetId="21" state="veryHidden" r:id="rId4"/>
  </sheets>
  <functionGroups builtInGroupCount="19"/>
  <definedNames>
    <definedName name="_xlnm.Print_Area" localSheetId="0">警告!$B$2:$AB$22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11" i="20" l="1"/>
  <c r="U10" i="20"/>
  <c r="U9" i="20"/>
  <c r="U8" i="20"/>
  <c r="U7" i="20"/>
  <c r="U6" i="20"/>
  <c r="U5" i="20"/>
  <c r="U12" i="20" l="1"/>
</calcChain>
</file>

<file path=xl/sharedStrings.xml><?xml version="1.0" encoding="utf-8"?>
<sst xmlns="http://schemas.openxmlformats.org/spreadsheetml/2006/main" count="628" uniqueCount="317">
  <si>
    <t>■個人別人材育成計画</t>
    <rPh sb="1" eb="3">
      <t>コジン</t>
    </rPh>
    <rPh sb="3" eb="4">
      <t>ベツ</t>
    </rPh>
    <rPh sb="4" eb="6">
      <t>ジンザイ</t>
    </rPh>
    <rPh sb="6" eb="8">
      <t>イクセイ</t>
    </rPh>
    <rPh sb="8" eb="10">
      <t>ケイカク</t>
    </rPh>
    <phoneticPr fontId="7"/>
  </si>
  <si>
    <t>入社年次</t>
    <rPh sb="0" eb="2">
      <t>ニュウシャ</t>
    </rPh>
    <rPh sb="2" eb="4">
      <t>ネンジ</t>
    </rPh>
    <phoneticPr fontId="7"/>
  </si>
  <si>
    <t>同一業務区分</t>
    <rPh sb="0" eb="2">
      <t>ドウイツ</t>
    </rPh>
    <rPh sb="2" eb="4">
      <t>ギョウム</t>
    </rPh>
    <rPh sb="4" eb="6">
      <t>クブン</t>
    </rPh>
    <phoneticPr fontId="7"/>
  </si>
  <si>
    <t>役職分類</t>
    <rPh sb="0" eb="2">
      <t>ヤクショク</t>
    </rPh>
    <rPh sb="2" eb="4">
      <t>ブンルイ</t>
    </rPh>
    <phoneticPr fontId="7"/>
  </si>
  <si>
    <t>人数</t>
    <rPh sb="0" eb="2">
      <t>ニンズウ</t>
    </rPh>
    <phoneticPr fontId="7"/>
  </si>
  <si>
    <t xml:space="preserve">11年目以上
</t>
    <rPh sb="2" eb="4">
      <t>ネンメ</t>
    </rPh>
    <rPh sb="4" eb="6">
      <t>イジョウ</t>
    </rPh>
    <phoneticPr fontId="7"/>
  </si>
  <si>
    <t>5年以上</t>
    <rPh sb="1" eb="4">
      <t>ネンイジョウ</t>
    </rPh>
    <phoneticPr fontId="7"/>
  </si>
  <si>
    <t>(キャリア入社を含む)</t>
    <phoneticPr fontId="7"/>
  </si>
  <si>
    <t>部課長以外</t>
    <rPh sb="0" eb="3">
      <t>ブカチョウ</t>
    </rPh>
    <rPh sb="3" eb="5">
      <t>イガイ</t>
    </rPh>
    <phoneticPr fontId="7"/>
  </si>
  <si>
    <t>5年未満</t>
    <rPh sb="1" eb="2">
      <t>ネン</t>
    </rPh>
    <rPh sb="2" eb="4">
      <t>ミマン</t>
    </rPh>
    <phoneticPr fontId="7"/>
  </si>
  <si>
    <t>6～10年目</t>
    <rPh sb="4" eb="6">
      <t>ネンメ</t>
    </rPh>
    <phoneticPr fontId="7"/>
  </si>
  <si>
    <t>1～5年目</t>
    <rPh sb="3" eb="5">
      <t>ネンメ</t>
    </rPh>
    <phoneticPr fontId="7"/>
  </si>
  <si>
    <t>合計</t>
    <rPh sb="0" eb="2">
      <t>ゴウケイ</t>
    </rPh>
    <phoneticPr fontId="7"/>
  </si>
  <si>
    <t>ステータス</t>
    <phoneticPr fontId="11"/>
  </si>
  <si>
    <t>退職
予定
年度</t>
    <rPh sb="0" eb="2">
      <t>タイショク</t>
    </rPh>
    <rPh sb="3" eb="5">
      <t>ヨテイ</t>
    </rPh>
    <rPh sb="6" eb="8">
      <t>ネンド</t>
    </rPh>
    <phoneticPr fontId="11"/>
  </si>
  <si>
    <t>社員属性</t>
    <rPh sb="0" eb="2">
      <t>シャイン</t>
    </rPh>
    <rPh sb="2" eb="4">
      <t>ゾクセイ</t>
    </rPh>
    <phoneticPr fontId="11"/>
  </si>
  <si>
    <t>入社年次</t>
    <rPh sb="0" eb="2">
      <t>ニュウシャ</t>
    </rPh>
    <rPh sb="2" eb="4">
      <t>ネンジ</t>
    </rPh>
    <phoneticPr fontId="11"/>
  </si>
  <si>
    <t>同一職務・同一事業場
・同一拠点での業務</t>
    <rPh sb="0" eb="2">
      <t>ドウイツ</t>
    </rPh>
    <rPh sb="2" eb="4">
      <t>ショクム</t>
    </rPh>
    <rPh sb="5" eb="7">
      <t>ドウイツ</t>
    </rPh>
    <rPh sb="7" eb="10">
      <t>ジギョウジョウ</t>
    </rPh>
    <rPh sb="12" eb="14">
      <t>ドウイツ</t>
    </rPh>
    <rPh sb="14" eb="16">
      <t>キョテン</t>
    </rPh>
    <rPh sb="18" eb="20">
      <t>ギョウム</t>
    </rPh>
    <phoneticPr fontId="11"/>
  </si>
  <si>
    <t>異動計画（直近）</t>
    <rPh sb="0" eb="2">
      <t>イドウ</t>
    </rPh>
    <rPh sb="2" eb="4">
      <t>ケイカク</t>
    </rPh>
    <rPh sb="5" eb="7">
      <t>チョッキン</t>
    </rPh>
    <phoneticPr fontId="11"/>
  </si>
  <si>
    <t>バイヤー認定計画</t>
    <rPh sb="4" eb="6">
      <t>ニンテイ</t>
    </rPh>
    <rPh sb="6" eb="8">
      <t>ケイカク</t>
    </rPh>
    <phoneticPr fontId="11"/>
  </si>
  <si>
    <t>登用計画</t>
    <rPh sb="0" eb="2">
      <t>トウヨウ</t>
    </rPh>
    <rPh sb="2" eb="4">
      <t>ケイカク</t>
    </rPh>
    <phoneticPr fontId="11"/>
  </si>
  <si>
    <t>異動実績</t>
    <rPh sb="0" eb="2">
      <t>イドウ</t>
    </rPh>
    <rPh sb="2" eb="4">
      <t>ジッセキ</t>
    </rPh>
    <phoneticPr fontId="11"/>
  </si>
  <si>
    <t>GID</t>
    <phoneticPr fontId="11"/>
  </si>
  <si>
    <t>名前</t>
    <rPh sb="0" eb="2">
      <t>ナマエ</t>
    </rPh>
    <phoneticPr fontId="11"/>
  </si>
  <si>
    <t>所属組織</t>
    <rPh sb="0" eb="2">
      <t>ショゾク</t>
    </rPh>
    <rPh sb="2" eb="4">
      <t>ソシキ</t>
    </rPh>
    <phoneticPr fontId="11"/>
  </si>
  <si>
    <t>生年月日</t>
    <rPh sb="0" eb="2">
      <t>セイネン</t>
    </rPh>
    <rPh sb="2" eb="4">
      <t>ガッピ</t>
    </rPh>
    <phoneticPr fontId="11"/>
  </si>
  <si>
    <t>4月
年齢</t>
    <rPh sb="1" eb="2">
      <t>ガツ</t>
    </rPh>
    <rPh sb="3" eb="5">
      <t>ネンレイ</t>
    </rPh>
    <phoneticPr fontId="11"/>
  </si>
  <si>
    <t>性別</t>
    <rPh sb="0" eb="2">
      <t>セイベツ</t>
    </rPh>
    <phoneticPr fontId="11"/>
  </si>
  <si>
    <t>学歴</t>
    <rPh sb="0" eb="2">
      <t>ガクレキ</t>
    </rPh>
    <phoneticPr fontId="11"/>
  </si>
  <si>
    <t>卒年</t>
    <rPh sb="0" eb="1">
      <t>ソツ</t>
    </rPh>
    <rPh sb="1" eb="2">
      <t>ネン</t>
    </rPh>
    <phoneticPr fontId="11"/>
  </si>
  <si>
    <t>入社年</t>
    <rPh sb="0" eb="2">
      <t>ニュウシャ</t>
    </rPh>
    <rPh sb="2" eb="3">
      <t>ネン</t>
    </rPh>
    <phoneticPr fontId="11"/>
  </si>
  <si>
    <t>等級</t>
    <rPh sb="0" eb="2">
      <t>トウキュウ</t>
    </rPh>
    <phoneticPr fontId="11"/>
  </si>
  <si>
    <t>役職</t>
    <rPh sb="0" eb="2">
      <t>ヤクショク</t>
    </rPh>
    <phoneticPr fontId="11"/>
  </si>
  <si>
    <t>役職分類</t>
    <rPh sb="0" eb="2">
      <t>ヤクショク</t>
    </rPh>
    <rPh sb="2" eb="4">
      <t>ブンルイ</t>
    </rPh>
    <phoneticPr fontId="11"/>
  </si>
  <si>
    <t>社員区分</t>
    <rPh sb="0" eb="2">
      <t>シャイン</t>
    </rPh>
    <rPh sb="2" eb="4">
      <t>クブン</t>
    </rPh>
    <phoneticPr fontId="11"/>
  </si>
  <si>
    <t>調達業務
割合(%)</t>
    <rPh sb="0" eb="2">
      <t>チョウタツ</t>
    </rPh>
    <rPh sb="2" eb="4">
      <t>ギョウム</t>
    </rPh>
    <rPh sb="5" eb="7">
      <t>ワリアイ</t>
    </rPh>
    <phoneticPr fontId="11"/>
  </si>
  <si>
    <t>バイヤー
認定</t>
    <rPh sb="5" eb="7">
      <t>ニンテイ</t>
    </rPh>
    <phoneticPr fontId="7"/>
  </si>
  <si>
    <t>業務
開始年月</t>
    <rPh sb="0" eb="2">
      <t>ギョウム</t>
    </rPh>
    <rPh sb="3" eb="5">
      <t>カイシ</t>
    </rPh>
    <rPh sb="5" eb="7">
      <t>ネンゲツ</t>
    </rPh>
    <phoneticPr fontId="11"/>
  </si>
  <si>
    <t>経過年
(4/1時点)</t>
    <rPh sb="0" eb="2">
      <t>ケイカ</t>
    </rPh>
    <rPh sb="2" eb="3">
      <t>ネン</t>
    </rPh>
    <rPh sb="8" eb="9">
      <t>ジ</t>
    </rPh>
    <rPh sb="9" eb="10">
      <t>テン</t>
    </rPh>
    <phoneticPr fontId="11"/>
  </si>
  <si>
    <t>区分</t>
    <rPh sb="0" eb="2">
      <t>クブン</t>
    </rPh>
    <phoneticPr fontId="7"/>
  </si>
  <si>
    <t>年度</t>
    <rPh sb="0" eb="2">
      <t>ネンド</t>
    </rPh>
    <phoneticPr fontId="11"/>
  </si>
  <si>
    <t>職務</t>
    <rPh sb="0" eb="2">
      <t>ショクム</t>
    </rPh>
    <phoneticPr fontId="11"/>
  </si>
  <si>
    <t>事業場</t>
    <rPh sb="0" eb="3">
      <t>ジギョウジョウ</t>
    </rPh>
    <phoneticPr fontId="11"/>
  </si>
  <si>
    <t>拠点</t>
    <rPh sb="0" eb="2">
      <t>キョテン</t>
    </rPh>
    <phoneticPr fontId="11"/>
  </si>
  <si>
    <t>異動先拠点</t>
    <rPh sb="0" eb="2">
      <t>イドウ</t>
    </rPh>
    <rPh sb="2" eb="3">
      <t>サキ</t>
    </rPh>
    <rPh sb="3" eb="5">
      <t>キョテン</t>
    </rPh>
    <phoneticPr fontId="7"/>
  </si>
  <si>
    <t>異動先の組織</t>
    <rPh sb="0" eb="2">
      <t>イドウ</t>
    </rPh>
    <rPh sb="2" eb="3">
      <t>サキ</t>
    </rPh>
    <rPh sb="4" eb="6">
      <t>ソシキ</t>
    </rPh>
    <phoneticPr fontId="7"/>
  </si>
  <si>
    <t>後任
要否</t>
    <rPh sb="0" eb="2">
      <t>コウニン</t>
    </rPh>
    <rPh sb="3" eb="5">
      <t>ヨウヒ</t>
    </rPh>
    <phoneticPr fontId="11"/>
  </si>
  <si>
    <t>後任要件</t>
    <rPh sb="0" eb="2">
      <t>コウニン</t>
    </rPh>
    <rPh sb="2" eb="4">
      <t>ヨウケン</t>
    </rPh>
    <phoneticPr fontId="11"/>
  </si>
  <si>
    <t>認定
年度</t>
    <rPh sb="0" eb="2">
      <t>ニンテイ</t>
    </rPh>
    <rPh sb="3" eb="5">
      <t>ネンド</t>
    </rPh>
    <phoneticPr fontId="11"/>
  </si>
  <si>
    <t>認定級</t>
    <rPh sb="0" eb="2">
      <t>ニンテイ</t>
    </rPh>
    <rPh sb="2" eb="3">
      <t>キュウ</t>
    </rPh>
    <phoneticPr fontId="11"/>
  </si>
  <si>
    <t>登用
年度</t>
    <rPh sb="0" eb="2">
      <t>トウヨウ</t>
    </rPh>
    <rPh sb="3" eb="5">
      <t>ネンド</t>
    </rPh>
    <phoneticPr fontId="11"/>
  </si>
  <si>
    <t>等級群</t>
    <rPh sb="0" eb="2">
      <t>トウキュウ</t>
    </rPh>
    <rPh sb="2" eb="3">
      <t>グン</t>
    </rPh>
    <phoneticPr fontId="11"/>
  </si>
  <si>
    <t>異動月</t>
    <rPh sb="0" eb="2">
      <t>イドウ</t>
    </rPh>
    <rPh sb="2" eb="3">
      <t>ツキ</t>
    </rPh>
    <phoneticPr fontId="11"/>
  </si>
  <si>
    <t>異動先の組織</t>
    <rPh sb="0" eb="2">
      <t>イドウ</t>
    </rPh>
    <rPh sb="2" eb="3">
      <t>サキ</t>
    </rPh>
    <rPh sb="4" eb="6">
      <t>ソシキ</t>
    </rPh>
    <phoneticPr fontId="11"/>
  </si>
  <si>
    <t>マクロを有効にしてください</t>
    <rPh sb="4" eb="6">
      <t>ユウコウ</t>
    </rPh>
    <phoneticPr fontId="16"/>
  </si>
  <si>
    <t>マクロを有効にできない方へ</t>
    <rPh sb="4" eb="6">
      <t>ユウコウ</t>
    </rPh>
    <rPh sb="11" eb="12">
      <t>カタ</t>
    </rPh>
    <phoneticPr fontId="16"/>
  </si>
  <si>
    <t>現在、マクロの設定が無効になっているため、マクロの実行が行なえません。</t>
    <rPh sb="0" eb="2">
      <t>ゲンザイ</t>
    </rPh>
    <rPh sb="7" eb="9">
      <t>セッテイ</t>
    </rPh>
    <rPh sb="10" eb="12">
      <t>ムコウ</t>
    </rPh>
    <rPh sb="25" eb="27">
      <t>ジッコウ</t>
    </rPh>
    <rPh sb="28" eb="29">
      <t>オコ</t>
    </rPh>
    <phoneticPr fontId="16"/>
  </si>
  <si>
    <t>マクロ設定の変更を実施していただきますようお願いいたします。</t>
    <rPh sb="3" eb="5">
      <t>セッテイ</t>
    </rPh>
    <rPh sb="6" eb="8">
      <t>ヘンコウ</t>
    </rPh>
    <rPh sb="9" eb="11">
      <t>ジッシ</t>
    </rPh>
    <rPh sb="22" eb="23">
      <t>ネガ</t>
    </rPh>
    <phoneticPr fontId="16"/>
  </si>
  <si>
    <t>○ステップ１（一度だけ実施要）</t>
    <rPh sb="7" eb="9">
      <t>イチド</t>
    </rPh>
    <rPh sb="11" eb="13">
      <t>ジッシ</t>
    </rPh>
    <rPh sb="13" eb="14">
      <t>ヨウ</t>
    </rPh>
    <phoneticPr fontId="16"/>
  </si>
  <si>
    <t>・ファイルタブ（Excel画面右上）を押下し、左側のメニューから[オプション]を選択し、Excelのオプションウィンドウを開く。</t>
    <rPh sb="13" eb="17">
      <t>ガメンミギウエ</t>
    </rPh>
    <rPh sb="19" eb="21">
      <t>オウカ</t>
    </rPh>
    <rPh sb="23" eb="25">
      <t>ヒダリガワ</t>
    </rPh>
    <rPh sb="40" eb="42">
      <t>センタク</t>
    </rPh>
    <rPh sb="61" eb="62">
      <t>ヒラ</t>
    </rPh>
    <phoneticPr fontId="16"/>
  </si>
  <si>
    <t>・左側のメニューから[セキュリティセンター]を選択し、[セキュリティセンターの設定(T)」ボタンを押下し、セキュリティセンターウィンドウを開く。</t>
    <rPh sb="1" eb="3">
      <t>ヒダリガワ</t>
    </rPh>
    <rPh sb="23" eb="25">
      <t>センタク</t>
    </rPh>
    <rPh sb="39" eb="41">
      <t>セッテイ</t>
    </rPh>
    <rPh sb="49" eb="51">
      <t>オウカ</t>
    </rPh>
    <rPh sb="69" eb="70">
      <t>ヒラ</t>
    </rPh>
    <phoneticPr fontId="16"/>
  </si>
  <si>
    <t>・左側のメニューから[マクロの設定]を選択し、マクロの設定のラジオボタンを[警告を表示してすべてのマクロを向こうにする(D)]に設定変更する。</t>
    <rPh sb="1" eb="3">
      <t>ヒダリガワ</t>
    </rPh>
    <rPh sb="15" eb="17">
      <t>セッテイ</t>
    </rPh>
    <rPh sb="19" eb="21">
      <t>センタク</t>
    </rPh>
    <rPh sb="27" eb="29">
      <t>セッテイ</t>
    </rPh>
    <rPh sb="38" eb="40">
      <t>ケイコク</t>
    </rPh>
    <rPh sb="41" eb="43">
      <t>ヒョウジ</t>
    </rPh>
    <rPh sb="53" eb="54">
      <t>ム</t>
    </rPh>
    <rPh sb="64" eb="68">
      <t>セッテイヘンコウ</t>
    </rPh>
    <phoneticPr fontId="16"/>
  </si>
  <si>
    <t>・一度Excelを終了します。</t>
    <rPh sb="1" eb="3">
      <t>イチド</t>
    </rPh>
    <rPh sb="9" eb="11">
      <t>シュウリョウ</t>
    </rPh>
    <phoneticPr fontId="16"/>
  </si>
  <si>
    <t>○ステップ２（毎回オープン次実施要）</t>
    <rPh sb="7" eb="9">
      <t>マイカイ</t>
    </rPh>
    <rPh sb="13" eb="14">
      <t>ジ</t>
    </rPh>
    <rPh sb="14" eb="16">
      <t>ジッシ</t>
    </rPh>
    <rPh sb="16" eb="17">
      <t>ヨウ</t>
    </rPh>
    <phoneticPr fontId="16"/>
  </si>
  <si>
    <t>・Excelファイルを開くと、セキュリティの警告のバーが表示されるので、[コンテンツの有効化]ボタンを押下する。</t>
    <rPh sb="11" eb="12">
      <t>ヒラ</t>
    </rPh>
    <rPh sb="22" eb="24">
      <t>ケイコク</t>
    </rPh>
    <rPh sb="28" eb="30">
      <t>ヒョウジ</t>
    </rPh>
    <rPh sb="43" eb="46">
      <t>ユウコウカ</t>
    </rPh>
    <rPh sb="51" eb="53">
      <t>オウカ</t>
    </rPh>
    <phoneticPr fontId="16"/>
  </si>
  <si>
    <t>◆本ファイルは、Microsoft Excel 2016を前提としています。</t>
    <rPh sb="1" eb="2">
      <t>ホン</t>
    </rPh>
    <rPh sb="29" eb="31">
      <t>ゼンテイ</t>
    </rPh>
    <phoneticPr fontId="16"/>
  </si>
  <si>
    <t>チェック結果</t>
    <rPh sb="4" eb="6">
      <t>ケッカ</t>
    </rPh>
    <phoneticPr fontId="2"/>
  </si>
  <si>
    <t>項目名</t>
    <rPh sb="0" eb="3">
      <t>コウモクメイ</t>
    </rPh>
    <phoneticPr fontId="2"/>
  </si>
  <si>
    <t>エラー内容</t>
    <rPh sb="3" eb="5">
      <t>ナイヨウ</t>
    </rPh>
    <phoneticPr fontId="2"/>
  </si>
  <si>
    <t>異動</t>
    <rPh sb="0" eb="2">
      <t>イドウ</t>
    </rPh>
    <phoneticPr fontId="11"/>
  </si>
  <si>
    <t>部長</t>
    <rPh sb="0" eb="2">
      <t>ブチョウ</t>
    </rPh>
    <phoneticPr fontId="7"/>
  </si>
  <si>
    <t>次年度末までの退職予定者</t>
    <rPh sb="0" eb="3">
      <t>ジネンド</t>
    </rPh>
    <rPh sb="3" eb="4">
      <t>マツ</t>
    </rPh>
    <rPh sb="7" eb="9">
      <t>タイショク</t>
    </rPh>
    <rPh sb="9" eb="12">
      <t>ヨテイシャ</t>
    </rPh>
    <phoneticPr fontId="7"/>
  </si>
  <si>
    <t>現在の担当業務</t>
    <rPh sb="0" eb="2">
      <t>ゲンザイ</t>
    </rPh>
    <rPh sb="3" eb="5">
      <t>タントウ</t>
    </rPh>
    <rPh sb="5" eb="7">
      <t>ギョウム</t>
    </rPh>
    <phoneticPr fontId="11"/>
  </si>
  <si>
    <t>異動計画（2018年度）</t>
    <phoneticPr fontId="7"/>
  </si>
  <si>
    <t>異動計画（2019年度）</t>
    <phoneticPr fontId="7"/>
  </si>
  <si>
    <t>異動計画（2020年度）</t>
    <phoneticPr fontId="7"/>
  </si>
  <si>
    <t>担当業務計画（2021年度）</t>
    <phoneticPr fontId="7"/>
  </si>
  <si>
    <t>異動計画（2021年度）</t>
    <phoneticPr fontId="7"/>
  </si>
  <si>
    <t>担当業務計画（未定）</t>
    <rPh sb="7" eb="9">
      <t>ミテイ</t>
    </rPh>
    <phoneticPr fontId="7"/>
  </si>
  <si>
    <t>異動計画（未定）</t>
    <phoneticPr fontId="7"/>
  </si>
  <si>
    <t>備考</t>
    <rPh sb="0" eb="2">
      <t>ビコウ</t>
    </rPh>
    <phoneticPr fontId="11"/>
  </si>
  <si>
    <t>等級群</t>
    <rPh sb="0" eb="2">
      <t>トウキュウ</t>
    </rPh>
    <rPh sb="2" eb="3">
      <t>グン</t>
    </rPh>
    <phoneticPr fontId="7"/>
  </si>
  <si>
    <t>退職</t>
    <rPh sb="0" eb="2">
      <t>タイショク</t>
    </rPh>
    <phoneticPr fontId="7"/>
  </si>
  <si>
    <t>担当業務</t>
    <rPh sb="0" eb="4">
      <t>タントウギョウム</t>
    </rPh>
    <phoneticPr fontId="7"/>
  </si>
  <si>
    <t>異動月</t>
    <rPh sb="0" eb="2">
      <t>イドウ</t>
    </rPh>
    <rPh sb="2" eb="3">
      <t>ツキ</t>
    </rPh>
    <phoneticPr fontId="7"/>
  </si>
  <si>
    <t>編集不可</t>
    <rPh sb="0" eb="4">
      <t>ヘンシュウフカ</t>
    </rPh>
    <phoneticPr fontId="7"/>
  </si>
  <si>
    <t>ダウンロード時点の情報を表示します
（担当業務計画を編集しても反映されません）</t>
    <rPh sb="6" eb="8">
      <t>ジテン</t>
    </rPh>
    <rPh sb="9" eb="11">
      <t>ジョウホウ</t>
    </rPh>
    <rPh sb="12" eb="14">
      <t>ヒョウジ</t>
    </rPh>
    <rPh sb="19" eb="23">
      <t>タントウギョウム</t>
    </rPh>
    <rPh sb="23" eb="25">
      <t>ケイカク</t>
    </rPh>
    <rPh sb="26" eb="28">
      <t>ヘンシュウ</t>
    </rPh>
    <rPh sb="31" eb="33">
      <t>ハンエイ</t>
    </rPh>
    <phoneticPr fontId="7"/>
  </si>
  <si>
    <t>リストから選択</t>
    <rPh sb="5" eb="7">
      <t>センタク</t>
    </rPh>
    <phoneticPr fontId="7"/>
  </si>
  <si>
    <t>改行不可
（半角スペースに変換）</t>
    <rPh sb="0" eb="2">
      <t>カイギョウ</t>
    </rPh>
    <rPh sb="2" eb="4">
      <t>フカ</t>
    </rPh>
    <rPh sb="6" eb="8">
      <t>ハンカク</t>
    </rPh>
    <rPh sb="13" eb="15">
      <t>ヘンカン</t>
    </rPh>
    <phoneticPr fontId="7"/>
  </si>
  <si>
    <t>異動予定は○を選択</t>
    <rPh sb="0" eb="2">
      <t>イドウ</t>
    </rPh>
    <rPh sb="2" eb="4">
      <t>ヨテイ</t>
    </rPh>
    <rPh sb="7" eb="9">
      <t>センタク</t>
    </rPh>
    <phoneticPr fontId="7"/>
  </si>
  <si>
    <t>退職選択時、次年度以降入力不可</t>
    <rPh sb="0" eb="2">
      <t>タイショク</t>
    </rPh>
    <rPh sb="2" eb="4">
      <t>センタク</t>
    </rPh>
    <rPh sb="4" eb="5">
      <t>ジ</t>
    </rPh>
    <rPh sb="6" eb="9">
      <t>ジネンド</t>
    </rPh>
    <rPh sb="9" eb="11">
      <t>イコウ</t>
    </rPh>
    <rPh sb="11" eb="13">
      <t>ニュウリョク</t>
    </rPh>
    <rPh sb="13" eb="15">
      <t>フカ</t>
    </rPh>
    <phoneticPr fontId="7"/>
  </si>
  <si>
    <t>「異動あり」時、入力必須</t>
    <rPh sb="1" eb="3">
      <t>イドウ</t>
    </rPh>
    <rPh sb="6" eb="7">
      <t>ジ</t>
    </rPh>
    <rPh sb="8" eb="12">
      <t>ニュウリョクヒッス</t>
    </rPh>
    <phoneticPr fontId="7"/>
  </si>
  <si>
    <t>拠点「変更なし」以外選択時、入力必須</t>
    <rPh sb="0" eb="2">
      <t>キョテン</t>
    </rPh>
    <rPh sb="3" eb="5">
      <t>ヘンコウ</t>
    </rPh>
    <rPh sb="8" eb="10">
      <t>イガイ</t>
    </rPh>
    <rPh sb="10" eb="12">
      <t>センタク</t>
    </rPh>
    <rPh sb="12" eb="13">
      <t>ジ</t>
    </rPh>
    <rPh sb="14" eb="18">
      <t>ニュウリョクヒッス</t>
    </rPh>
    <phoneticPr fontId="7"/>
  </si>
  <si>
    <t>後任"要"選択時、後任要件入力必須</t>
    <rPh sb="0" eb="2">
      <t>コウニン</t>
    </rPh>
    <rPh sb="3" eb="4">
      <t>ヨウ</t>
    </rPh>
    <rPh sb="5" eb="7">
      <t>センタク</t>
    </rPh>
    <rPh sb="7" eb="8">
      <t>ジ</t>
    </rPh>
    <rPh sb="9" eb="11">
      <t>コウニン</t>
    </rPh>
    <rPh sb="11" eb="13">
      <t>ヨウケン</t>
    </rPh>
    <rPh sb="13" eb="17">
      <t>ニュウリョクヒッス</t>
    </rPh>
    <phoneticPr fontId="7"/>
  </si>
  <si>
    <t>後任「要」選択時、入力必須</t>
    <rPh sb="0" eb="2">
      <t>コウニン</t>
    </rPh>
    <rPh sb="3" eb="4">
      <t>ヨウ</t>
    </rPh>
    <rPh sb="5" eb="7">
      <t>センタク</t>
    </rPh>
    <rPh sb="7" eb="8">
      <t>ジ</t>
    </rPh>
    <rPh sb="9" eb="13">
      <t>ニュウリョクヒッス</t>
    </rPh>
    <phoneticPr fontId="7"/>
  </si>
  <si>
    <t>マスタ定義</t>
    <rPh sb="3" eb="5">
      <t>テイギ</t>
    </rPh>
    <phoneticPr fontId="2"/>
  </si>
  <si>
    <t>担当業務計画（2018年度）</t>
    <rPh sb="0" eb="4">
      <t>タントウギョウム</t>
    </rPh>
    <rPh sb="4" eb="6">
      <t>ケイカク</t>
    </rPh>
    <rPh sb="11" eb="13">
      <t>ネンド</t>
    </rPh>
    <phoneticPr fontId="7"/>
  </si>
  <si>
    <t>担当業務計画（2019年度）</t>
    <phoneticPr fontId="7"/>
  </si>
  <si>
    <t>担当業務計画（2020年度）</t>
    <rPh sb="0" eb="2">
      <t>タントウ</t>
    </rPh>
    <rPh sb="2" eb="4">
      <t>ギョウム</t>
    </rPh>
    <rPh sb="4" eb="6">
      <t>ケイカク</t>
    </rPh>
    <rPh sb="11" eb="13">
      <t>ネンド</t>
    </rPh>
    <phoneticPr fontId="7"/>
  </si>
  <si>
    <t>担当業務計画（2022年度）</t>
    <phoneticPr fontId="7"/>
  </si>
  <si>
    <t>異動計画（2022年度）</t>
    <phoneticPr fontId="7"/>
  </si>
  <si>
    <t>03</t>
    <phoneticPr fontId="2"/>
  </si>
  <si>
    <t>04</t>
    <phoneticPr fontId="2"/>
  </si>
  <si>
    <t>05</t>
  </si>
  <si>
    <t>06</t>
  </si>
  <si>
    <t>07</t>
  </si>
  <si>
    <t>08</t>
  </si>
  <si>
    <t>09</t>
  </si>
  <si>
    <t>10</t>
  </si>
  <si>
    <t>11</t>
  </si>
  <si>
    <t>12</t>
  </si>
  <si>
    <t>01</t>
    <phoneticPr fontId="2"/>
  </si>
  <si>
    <t>02</t>
    <phoneticPr fontId="2"/>
  </si>
  <si>
    <t>（バイヤー認定）認定年度</t>
    <rPh sb="5" eb="7">
      <t>ニンテイ</t>
    </rPh>
    <rPh sb="8" eb="10">
      <t>ニンテイ</t>
    </rPh>
    <rPh sb="10" eb="12">
      <t>ネンド</t>
    </rPh>
    <phoneticPr fontId="2"/>
  </si>
  <si>
    <t>2018</t>
    <phoneticPr fontId="2"/>
  </si>
  <si>
    <t>2019</t>
    <phoneticPr fontId="2"/>
  </si>
  <si>
    <t>2020</t>
  </si>
  <si>
    <t>2021</t>
  </si>
  <si>
    <t>2022</t>
  </si>
  <si>
    <t>2023</t>
  </si>
  <si>
    <t>（バイヤー認定）認定級</t>
    <rPh sb="5" eb="7">
      <t>ニンテイ</t>
    </rPh>
    <rPh sb="8" eb="10">
      <t>ニンテイ</t>
    </rPh>
    <rPh sb="10" eb="11">
      <t>キュウ</t>
    </rPh>
    <phoneticPr fontId="2"/>
  </si>
  <si>
    <t>バイヤー1級</t>
    <rPh sb="5" eb="6">
      <t>キュウ</t>
    </rPh>
    <phoneticPr fontId="2"/>
  </si>
  <si>
    <t>バイヤー2級</t>
    <rPh sb="5" eb="6">
      <t>キュウ</t>
    </rPh>
    <phoneticPr fontId="2"/>
  </si>
  <si>
    <t>（登用計画）登用年度</t>
    <rPh sb="1" eb="3">
      <t>トウヨウ</t>
    </rPh>
    <rPh sb="3" eb="5">
      <t>ケイカク</t>
    </rPh>
    <rPh sb="6" eb="8">
      <t>トウヨウ</t>
    </rPh>
    <rPh sb="8" eb="10">
      <t>ネンド</t>
    </rPh>
    <phoneticPr fontId="2"/>
  </si>
  <si>
    <t>（バイヤー認定）等級群</t>
    <rPh sb="5" eb="7">
      <t>ニンテイ</t>
    </rPh>
    <rPh sb="8" eb="10">
      <t>トウキュウ</t>
    </rPh>
    <rPh sb="10" eb="11">
      <t>グン</t>
    </rPh>
    <phoneticPr fontId="2"/>
  </si>
  <si>
    <t>経営職</t>
    <rPh sb="0" eb="2">
      <t>ケイエイ</t>
    </rPh>
    <rPh sb="2" eb="3">
      <t>ショク</t>
    </rPh>
    <phoneticPr fontId="2"/>
  </si>
  <si>
    <t>基幹職</t>
    <rPh sb="0" eb="2">
      <t>キカン</t>
    </rPh>
    <rPh sb="2" eb="3">
      <t>ショク</t>
    </rPh>
    <phoneticPr fontId="2"/>
  </si>
  <si>
    <t>主務職</t>
    <rPh sb="0" eb="2">
      <t>シュム</t>
    </rPh>
    <rPh sb="2" eb="3">
      <t>ショク</t>
    </rPh>
    <phoneticPr fontId="2"/>
  </si>
  <si>
    <t>異動・退職</t>
    <rPh sb="0" eb="2">
      <t>イドウ</t>
    </rPh>
    <rPh sb="3" eb="5">
      <t>タイショク</t>
    </rPh>
    <phoneticPr fontId="2"/>
  </si>
  <si>
    <t>○</t>
    <phoneticPr fontId="2"/>
  </si>
  <si>
    <t>（異動実績・異動計画）異動月</t>
    <rPh sb="1" eb="3">
      <t>イドウ</t>
    </rPh>
    <rPh sb="3" eb="5">
      <t>ジッセキ</t>
    </rPh>
    <rPh sb="6" eb="8">
      <t>イドウ</t>
    </rPh>
    <rPh sb="8" eb="10">
      <t>ケイカク</t>
    </rPh>
    <rPh sb="11" eb="13">
      <t>イドウ</t>
    </rPh>
    <rPh sb="13" eb="14">
      <t>ツキ</t>
    </rPh>
    <phoneticPr fontId="2"/>
  </si>
  <si>
    <t>（異動計画）職務</t>
    <rPh sb="1" eb="3">
      <t>イドウ</t>
    </rPh>
    <rPh sb="3" eb="5">
      <t>ケイカク</t>
    </rPh>
    <rPh sb="6" eb="8">
      <t>ショクム</t>
    </rPh>
    <phoneticPr fontId="2"/>
  </si>
  <si>
    <t>変更なし</t>
    <rPh sb="0" eb="2">
      <t>ヘンコウ</t>
    </rPh>
    <phoneticPr fontId="2"/>
  </si>
  <si>
    <t>企画・管理</t>
    <rPh sb="0" eb="2">
      <t>キカク</t>
    </rPh>
    <rPh sb="3" eb="5">
      <t>カンリ</t>
    </rPh>
    <phoneticPr fontId="2"/>
  </si>
  <si>
    <t>契約</t>
    <rPh sb="0" eb="2">
      <t>ケイヤク</t>
    </rPh>
    <phoneticPr fontId="2"/>
  </si>
  <si>
    <t>購買</t>
    <rPh sb="0" eb="2">
      <t>コウバイ</t>
    </rPh>
    <phoneticPr fontId="2"/>
  </si>
  <si>
    <t>部課長任免</t>
    <rPh sb="0" eb="3">
      <t>ブカチョウ</t>
    </rPh>
    <rPh sb="3" eb="5">
      <t>ニンメン</t>
    </rPh>
    <phoneticPr fontId="2"/>
  </si>
  <si>
    <t>その他</t>
    <rPh sb="2" eb="3">
      <t>タ</t>
    </rPh>
    <phoneticPr fontId="2"/>
  </si>
  <si>
    <t>（異動計画）事業場</t>
    <rPh sb="1" eb="3">
      <t>イドウ</t>
    </rPh>
    <rPh sb="3" eb="5">
      <t>ケイカク</t>
    </rPh>
    <rPh sb="6" eb="9">
      <t>ジギョウバ</t>
    </rPh>
    <phoneticPr fontId="2"/>
  </si>
  <si>
    <t>事業場(センター)外</t>
    <phoneticPr fontId="2"/>
  </si>
  <si>
    <t>カンパニー外</t>
    <rPh sb="5" eb="6">
      <t>ガイ</t>
    </rPh>
    <phoneticPr fontId="2"/>
  </si>
  <si>
    <t>（異動計画）拠点</t>
    <rPh sb="1" eb="3">
      <t>イドウ</t>
    </rPh>
    <rPh sb="3" eb="5">
      <t>ケイカク</t>
    </rPh>
    <rPh sb="6" eb="8">
      <t>キョテン</t>
    </rPh>
    <phoneticPr fontId="2"/>
  </si>
  <si>
    <t>同一県内</t>
    <rPh sb="0" eb="2">
      <t>ドウイツ</t>
    </rPh>
    <rPh sb="2" eb="4">
      <t>ケンナイ</t>
    </rPh>
    <phoneticPr fontId="2"/>
  </si>
  <si>
    <t>同一県外</t>
    <rPh sb="0" eb="2">
      <t>ドウイツ</t>
    </rPh>
    <rPh sb="2" eb="4">
      <t>ケンガイ</t>
    </rPh>
    <phoneticPr fontId="2"/>
  </si>
  <si>
    <t>海外赴任</t>
    <rPh sb="0" eb="4">
      <t>カイガイフニン</t>
    </rPh>
    <phoneticPr fontId="2"/>
  </si>
  <si>
    <t>海外帰任</t>
    <rPh sb="0" eb="2">
      <t>カイガイ</t>
    </rPh>
    <rPh sb="2" eb="4">
      <t>キニン</t>
    </rPh>
    <phoneticPr fontId="2"/>
  </si>
  <si>
    <t>（異動計画）後任要否</t>
    <rPh sb="1" eb="3">
      <t>イドウ</t>
    </rPh>
    <rPh sb="3" eb="5">
      <t>ケイカク</t>
    </rPh>
    <rPh sb="6" eb="8">
      <t>コウニン</t>
    </rPh>
    <rPh sb="8" eb="10">
      <t>ヨウヒ</t>
    </rPh>
    <phoneticPr fontId="2"/>
  </si>
  <si>
    <t>要</t>
    <rPh sb="0" eb="1">
      <t>ヨウ</t>
    </rPh>
    <phoneticPr fontId="2"/>
  </si>
  <si>
    <t>不要</t>
    <rPh sb="0" eb="2">
      <t>フヨウ</t>
    </rPh>
    <phoneticPr fontId="2"/>
  </si>
  <si>
    <t>エラー発生セル</t>
    <rPh sb="3" eb="5">
      <t>ハッッセイ</t>
    </rPh>
    <phoneticPr fontId="2"/>
  </si>
  <si>
    <t>下記のエラー箇所を修正し、再度エラーチェックを実施してください。</t>
    <rPh sb="0" eb="2">
      <t>カキ</t>
    </rPh>
    <rPh sb="6" eb="8">
      <t>カショ</t>
    </rPh>
    <rPh sb="9" eb="11">
      <t>シュウセイ</t>
    </rPh>
    <rPh sb="13" eb="15">
      <t>サイド</t>
    </rPh>
    <rPh sb="23" eb="25">
      <t>ジッシ</t>
    </rPh>
    <phoneticPr fontId="7"/>
  </si>
  <si>
    <t>GID</t>
    <phoneticPr fontId="2"/>
  </si>
  <si>
    <t>名前</t>
    <rPh sb="0" eb="2">
      <t>ナマエ</t>
    </rPh>
    <phoneticPr fontId="2"/>
  </si>
  <si>
    <t>エラー区分</t>
    <rPh sb="3" eb="5">
      <t>クブン</t>
    </rPh>
    <phoneticPr fontId="2"/>
  </si>
  <si>
    <t>計画入力中</t>
  </si>
  <si>
    <t>2019</t>
  </si>
  <si>
    <t>0400715</t>
  </si>
  <si>
    <t>剛悼　葡履</t>
  </si>
  <si>
    <t>AIS ドヒウセタレョ‐スラヵ事業部 ソヵシタレョ‐スラヵＤＷ 銀椎巷嬢 誠側部 調達課 調達刑</t>
  </si>
  <si>
    <t>1968/05/21</t>
  </si>
  <si>
    <t>48</t>
  </si>
  <si>
    <t>男</t>
  </si>
  <si>
    <t>大学</t>
  </si>
  <si>
    <t>1991</t>
  </si>
  <si>
    <t>1992</t>
  </si>
  <si>
    <t>Ｒ３２</t>
  </si>
  <si>
    <t>主務</t>
  </si>
  <si>
    <t>部課長以外</t>
  </si>
  <si>
    <t>グローバル社員</t>
  </si>
  <si>
    <t>未認定</t>
  </si>
  <si>
    <t>11年目以上</t>
  </si>
  <si>
    <t>2016/03</t>
  </si>
  <si>
    <t>2年経過</t>
  </si>
  <si>
    <t>5年未満</t>
  </si>
  <si>
    <t>2018</t>
  </si>
  <si>
    <t>バイヤー1級</t>
  </si>
  <si>
    <t>○</t>
  </si>
  <si>
    <t>2020/09 契約</t>
  </si>
  <si>
    <t>1</t>
  </si>
  <si>
    <t>0402616</t>
  </si>
  <si>
    <t>羽甥碕　終富</t>
  </si>
  <si>
    <t>AIS ドヒウセタレョ‐スラヵ事業部 吐市姓梧タレョ‐スラヵＤＷ 布撒；樟浩巷嬢 誠側部 調達課 ＪＧＸ径訳購買刑</t>
  </si>
  <si>
    <t>1971/03/01</t>
  </si>
  <si>
    <t>45</t>
  </si>
  <si>
    <t>1994</t>
  </si>
  <si>
    <t>1995</t>
  </si>
  <si>
    <t>Ｒ・</t>
  </si>
  <si>
    <t>係長</t>
  </si>
  <si>
    <t>100</t>
  </si>
  <si>
    <t>2016/07</t>
  </si>
  <si>
    <t>1年経過</t>
  </si>
  <si>
    <t>蓄電契約</t>
  </si>
  <si>
    <t>0</t>
  </si>
  <si>
    <t>0402614</t>
  </si>
  <si>
    <t>溌兎　いこめ</t>
  </si>
  <si>
    <t>1975/03/11</t>
  </si>
  <si>
    <t>42</t>
  </si>
  <si>
    <t>女</t>
  </si>
  <si>
    <t>短大</t>
  </si>
  <si>
    <t>Ｅ３</t>
  </si>
  <si>
    <t>2015/10</t>
  </si>
  <si>
    <t>機構部品契約</t>
  </si>
  <si>
    <t>要</t>
  </si>
  <si>
    <t>PASDL調達責任者</t>
  </si>
  <si>
    <t>0406185</t>
  </si>
  <si>
    <t>醍鱈　煽</t>
  </si>
  <si>
    <t>AIS ドヒウセタレョ‐スラヵ事業部 吐市姓梧タレョ‐スラヵＤＷ 布撒；樟浩巷嬢 誠側部 調達課 犯羊調達刑</t>
  </si>
  <si>
    <t>1970/07/09</t>
  </si>
  <si>
    <t>46</t>
  </si>
  <si>
    <t>2016/04</t>
  </si>
  <si>
    <t>二次電池調達責任者</t>
  </si>
  <si>
    <t>0400512</t>
  </si>
  <si>
    <t>潟鱈　遼璽</t>
  </si>
  <si>
    <t>1974/01/05</t>
  </si>
  <si>
    <t>43</t>
  </si>
  <si>
    <t>高校</t>
  </si>
  <si>
    <t>2012/06</t>
  </si>
  <si>
    <t>5年経過</t>
  </si>
  <si>
    <t>5年以上</t>
  </si>
  <si>
    <t>企画・管理</t>
  </si>
  <si>
    <t>事業場(センター)外</t>
  </si>
  <si>
    <t>同一県内</t>
  </si>
  <si>
    <t>あ_2018</t>
  </si>
  <si>
    <t>い_2018</t>
  </si>
  <si>
    <t>不要</t>
  </si>
  <si>
    <t>PASMY調達責任者</t>
  </si>
  <si>
    <t>契約</t>
  </si>
  <si>
    <t>カンパニー外</t>
  </si>
  <si>
    <t>い_2019</t>
  </si>
  <si>
    <t>購買</t>
  </si>
  <si>
    <t>その他</t>
  </si>
  <si>
    <t>海外赴任</t>
  </si>
  <si>
    <t>あ_2020</t>
  </si>
  <si>
    <t>い_2020</t>
  </si>
  <si>
    <t>部課長任免</t>
  </si>
  <si>
    <t>変更なし</t>
  </si>
  <si>
    <t>海外帰任</t>
  </si>
  <si>
    <t>あ_2021</t>
  </si>
  <si>
    <t>い_2021</t>
  </si>
  <si>
    <t>う_2021</t>
  </si>
  <si>
    <t>い_未定</t>
  </si>
  <si>
    <t>備考備考備考</t>
  </si>
  <si>
    <t>0402317</t>
  </si>
  <si>
    <t>柴碕　梢市</t>
  </si>
  <si>
    <t>AIS 吐市材涼事業部 ＵＥＯ部 何楽材涼調達課</t>
  </si>
  <si>
    <t>1975/06/21</t>
  </si>
  <si>
    <t>2013/09</t>
  </si>
  <si>
    <t>4年経過</t>
  </si>
  <si>
    <t>PASMX調達責任者</t>
  </si>
  <si>
    <t>0402564</t>
  </si>
  <si>
    <t>尚撒　幽溝</t>
  </si>
  <si>
    <t>GPRC グローバル調達社 蛇剤調達ソヵチ‐ 購買緩痢部 葬椎購買課</t>
  </si>
  <si>
    <t>1976/11/11</t>
  </si>
  <si>
    <t>40</t>
  </si>
  <si>
    <t>契約管理1課</t>
  </si>
  <si>
    <t>契約・契約管理業務・事業部の理解、英語力</t>
  </si>
  <si>
    <t>PAISEU契約課長</t>
  </si>
  <si>
    <t>契約管理１課</t>
  </si>
  <si>
    <t>2018年度</t>
    <rPh sb="4" eb="6">
      <t>ネンド</t>
    </rPh>
    <phoneticPr fontId="2"/>
  </si>
  <si>
    <t>進捗状況確認中</t>
    <rPh sb="0" eb="4">
      <t>シンチョクジョウキョウ</t>
    </rPh>
    <rPh sb="4" eb="7">
      <t>カクニンチュウ</t>
    </rPh>
    <phoneticPr fontId="2"/>
  </si>
  <si>
    <t>計画確認中</t>
    <rPh sb="0" eb="2">
      <t>ケイカク</t>
    </rPh>
    <rPh sb="2" eb="5">
      <t>カクニンチュウ</t>
    </rPh>
    <phoneticPr fontId="2"/>
  </si>
  <si>
    <t>契約・契約管理業務・事業部の理解、英語力</t>
    <phoneticPr fontId="2"/>
  </si>
  <si>
    <t>PASCZ契約課長</t>
    <phoneticPr fontId="2"/>
  </si>
  <si>
    <t>03</t>
  </si>
  <si>
    <t>hhhhh</t>
    <phoneticPr fontId="2"/>
  </si>
  <si>
    <t>AH17</t>
  </si>
  <si>
    <t>バイヤー認定計画　認定年度</t>
  </si>
  <si>
    <t>エラー</t>
  </si>
  <si>
    <t>バイヤー認定年度は、退職年度以前を指定してください。</t>
  </si>
  <si>
    <t>AL17</t>
  </si>
  <si>
    <t>現在の担当業務</t>
  </si>
  <si>
    <t>AU17</t>
  </si>
  <si>
    <t>2018年度異動計画　異動先の組織</t>
  </si>
  <si>
    <t>異動チェックをつけた年度には異動計画の必須項目（異動月、職務、事業場、拠点、異動先の組織名称、後任要否）を入力してください。</t>
  </si>
  <si>
    <t>AV17</t>
  </si>
  <si>
    <t>2018年度異動計画　後任要否</t>
  </si>
  <si>
    <t>BD21</t>
  </si>
  <si>
    <t>2019年度異動計画　拠点</t>
  </si>
  <si>
    <t>BG21</t>
  </si>
  <si>
    <t>2019年度異動計画　後任要否</t>
  </si>
  <si>
    <t>CX21</t>
  </si>
  <si>
    <t>（未定）担当業務計画　後任要件</t>
  </si>
  <si>
    <t>BA22</t>
  </si>
  <si>
    <t>2019年度異動計画　異動月</t>
  </si>
  <si>
    <t>BB22</t>
  </si>
  <si>
    <t>2019年度異動計画　職務</t>
  </si>
  <si>
    <t>BC22</t>
  </si>
  <si>
    <t>2019年度異動計画　事業場</t>
  </si>
  <si>
    <t>BD22</t>
  </si>
  <si>
    <t>BH22</t>
  </si>
  <si>
    <t>2019年度異動計画　後任要件</t>
  </si>
  <si>
    <t>BL23</t>
  </si>
  <si>
    <t>2020年度異動計画　異動月</t>
  </si>
  <si>
    <t>BM23</t>
  </si>
  <si>
    <t>2020年度異動計画　職務</t>
  </si>
  <si>
    <t>BN23</t>
  </si>
  <si>
    <t>2020年度異動計画　事業場</t>
  </si>
  <si>
    <t>BO23</t>
  </si>
  <si>
    <t>2020年度異動計画　拠点</t>
  </si>
  <si>
    <t>後任が必要な場合は後任要件を入力してください。</t>
  </si>
  <si>
    <t>経営職</t>
    <rPh sb="0" eb="2">
      <t>ケイエイ</t>
    </rPh>
    <rPh sb="2" eb="3">
      <t>ショク</t>
    </rPh>
    <phoneticPr fontId="2"/>
  </si>
  <si>
    <t>AI23</t>
  </si>
  <si>
    <t>バイヤー認定計画　認定級</t>
  </si>
  <si>
    <t xml:space="preserve">バイヤー認定計画の認定級が未入力です。_x000D_
認定計画は両方の欄に入力してください｡ </t>
  </si>
  <si>
    <t>あああああ</t>
    <phoneticPr fontId="2"/>
  </si>
  <si>
    <t>rrrrr</t>
    <phoneticPr fontId="2"/>
  </si>
  <si>
    <t>アップロード不可</t>
    <phoneticPr fontId="7"/>
  </si>
  <si>
    <t>（チェック結果シートを参照してください）</t>
    <phoneticPr fontId="7"/>
  </si>
  <si>
    <t>AK17</t>
  </si>
  <si>
    <t>登用計画　等級群</t>
  </si>
  <si>
    <t xml:space="preserve">登用計画の等級群が未入力です。_x000D_
登用計画は両方の欄に入力してください｡ </t>
  </si>
  <si>
    <t>現在の担当業務が未入力です。</t>
  </si>
  <si>
    <t>2019年度</t>
    <rPh sb="4" eb="6">
      <t>ネンド</t>
    </rPh>
    <phoneticPr fontId="2"/>
  </si>
  <si>
    <t>2020年度</t>
    <rPh sb="4" eb="6">
      <t>ネンド</t>
    </rPh>
    <phoneticPr fontId="2"/>
  </si>
  <si>
    <t>2021年度</t>
    <rPh sb="4" eb="6">
      <t>ネンド</t>
    </rPh>
    <phoneticPr fontId="2"/>
  </si>
  <si>
    <t>2022年度</t>
    <rPh sb="4" eb="6">
      <t>ネンド</t>
    </rPh>
    <phoneticPr fontId="2"/>
  </si>
  <si>
    <t>未定</t>
    <rPh sb="0" eb="2">
      <t>ミテイ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</si>
</sst>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;"/>
  </numFmts>
  <fonts count="30" x14ac:knownFonts="1"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2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theme="1"/>
      <name val="ＭＳ 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2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name val="ＭＳ ゴシック"/>
      <family val="3"/>
      <charset val="128"/>
    </font>
    <font>
      <sz val="9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10"/>
      <color theme="1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sz val="6"/>
      <name val="ＭＳ Ｐゴシック"/>
      <family val="2"/>
      <charset val="128"/>
    </font>
    <font>
      <b/>
      <sz val="10"/>
      <color rgb="FFFF000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2"/>
      <color theme="4" tint="-0.249977111117893"/>
      <name val="Meiryo UI"/>
      <family val="3"/>
      <charset val="128"/>
    </font>
    <font>
      <b/>
      <u/>
      <sz val="10"/>
      <color theme="1"/>
      <name val="Meiryo UI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9"/>
      <name val="ＭＳ ゴシック"/>
      <family val="3"/>
      <charset val="128"/>
    </font>
    <font>
      <b/>
      <u/>
      <sz val="16"/>
      <color theme="0"/>
      <name val="ＭＳ ゴシック"/>
      <family val="3"/>
      <charset val="128"/>
    </font>
    <font>
      <b/>
      <sz val="16"/>
      <color theme="0"/>
      <name val="ＭＳ ゴシック"/>
      <family val="3"/>
      <charset val="128"/>
    </font>
    <font>
      <b/>
      <sz val="10"/>
      <color theme="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10"/>
      <color rgb="FF000000"/>
      <name val="Meiryo UI"/>
      <family val="3"/>
      <charset val="128"/>
    </font>
    <font>
      <b/>
      <u/>
      <sz val="10"/>
      <name val="Meiryo UI"/>
      <family val="3"/>
      <charset val="128"/>
    </font>
    <font>
      <sz val="10"/>
      <name val="Meiryo UI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C0C0C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hair">
        <color theme="0" tint="-0.14993743705557422"/>
      </left>
      <right style="hair">
        <color theme="0" tint="-0.14993743705557422"/>
      </right>
      <top style="hair">
        <color theme="0" tint="-0.14993743705557422"/>
      </top>
      <bottom style="hair">
        <color theme="0" tint="-0.14993743705557422"/>
      </bottom>
      <diagonal/>
    </border>
    <border>
      <left style="thin">
        <color rgb="FF000000"/>
      </left>
      <right style="hair">
        <color theme="0" tint="-0.14993743705557422"/>
      </right>
      <top style="thin">
        <color rgb="FF000000"/>
      </top>
      <bottom style="hair">
        <color theme="0" tint="-0.14993743705557422"/>
      </bottom>
      <diagonal/>
    </border>
    <border>
      <left style="hair">
        <color theme="0" tint="-0.14993743705557422"/>
      </left>
      <right style="hair">
        <color theme="0" tint="-0.14993743705557422"/>
      </right>
      <top style="thin">
        <color rgb="FF000000"/>
      </top>
      <bottom style="hair">
        <color theme="0" tint="-0.14993743705557422"/>
      </bottom>
      <diagonal/>
    </border>
    <border>
      <left style="hair">
        <color theme="0" tint="-0.14993743705557422"/>
      </left>
      <right style="thin">
        <color rgb="FF000000"/>
      </right>
      <top style="thin">
        <color rgb="FF000000"/>
      </top>
      <bottom style="hair">
        <color theme="0" tint="-0.14993743705557422"/>
      </bottom>
      <diagonal/>
    </border>
    <border>
      <left style="thin">
        <color rgb="FF000000"/>
      </left>
      <right style="hair">
        <color theme="0" tint="-0.14993743705557422"/>
      </right>
      <top style="hair">
        <color theme="0" tint="-0.14993743705557422"/>
      </top>
      <bottom style="hair">
        <color theme="0" tint="-0.14993743705557422"/>
      </bottom>
      <diagonal/>
    </border>
    <border>
      <left style="hair">
        <color theme="0" tint="-0.14993743705557422"/>
      </left>
      <right style="thin">
        <color rgb="FF000000"/>
      </right>
      <top style="hair">
        <color theme="0" tint="-0.14993743705557422"/>
      </top>
      <bottom style="hair">
        <color theme="0" tint="-0.14993743705557422"/>
      </bottom>
      <diagonal/>
    </border>
    <border>
      <left style="thin">
        <color rgb="FF000000"/>
      </left>
      <right style="hair">
        <color theme="0" tint="-0.14993743705557422"/>
      </right>
      <top style="hair">
        <color theme="0" tint="-0.14993743705557422"/>
      </top>
      <bottom style="thin">
        <color rgb="FF000000"/>
      </bottom>
      <diagonal/>
    </border>
    <border>
      <left style="hair">
        <color theme="0" tint="-0.14993743705557422"/>
      </left>
      <right style="hair">
        <color theme="0" tint="-0.14993743705557422"/>
      </right>
      <top style="hair">
        <color theme="0" tint="-0.14993743705557422"/>
      </top>
      <bottom style="thin">
        <color rgb="FF000000"/>
      </bottom>
      <diagonal/>
    </border>
    <border>
      <left style="hair">
        <color theme="0" tint="-0.14993743705557422"/>
      </left>
      <right style="thin">
        <color rgb="FF000000"/>
      </right>
      <top style="hair">
        <color theme="0" tint="-0.14993743705557422"/>
      </top>
      <bottom style="thin">
        <color rgb="FF000000"/>
      </bottom>
      <diagonal/>
    </border>
  </borders>
  <cellStyleXfs count="6">
    <xf numFmtId="0" fontId="0" fillId="0" borderId="0">
      <alignment vertical="center"/>
    </xf>
    <xf numFmtId="0" fontId="3" fillId="0" borderId="0"/>
    <xf numFmtId="0" fontId="4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21" fillId="0" borderId="0">
      <alignment vertical="center"/>
    </xf>
  </cellStyleXfs>
  <cellXfs count="166">
    <xf numFmtId="0" fontId="0" fillId="0" borderId="0" xfId="0">
      <alignment vertical="center"/>
    </xf>
    <xf numFmtId="0" fontId="6" fillId="0" borderId="0" xfId="2" applyFont="1">
      <alignment vertical="center"/>
    </xf>
    <xf numFmtId="0" fontId="4" fillId="0" borderId="0" xfId="2">
      <alignment vertical="center"/>
    </xf>
    <xf numFmtId="0" fontId="4" fillId="0" borderId="0" xfId="2" applyFont="1">
      <alignment vertical="center"/>
    </xf>
    <xf numFmtId="0" fontId="4" fillId="2" borderId="3" xfId="2" applyFill="1" applyBorder="1" applyAlignment="1">
      <alignment vertical="center"/>
    </xf>
    <xf numFmtId="0" fontId="4" fillId="2" borderId="4" xfId="2" applyFill="1" applyBorder="1" applyAlignment="1">
      <alignment vertical="center"/>
    </xf>
    <xf numFmtId="0" fontId="4" fillId="2" borderId="2" xfId="2" applyFill="1" applyBorder="1" applyAlignment="1">
      <alignment vertical="center"/>
    </xf>
    <xf numFmtId="0" fontId="4" fillId="3" borderId="5" xfId="2" applyFill="1" applyBorder="1" applyAlignment="1">
      <alignment vertical="top" wrapText="1"/>
    </xf>
    <xf numFmtId="0" fontId="4" fillId="3" borderId="6" xfId="2" applyFill="1" applyBorder="1" applyAlignment="1">
      <alignment vertical="top" wrapText="1"/>
    </xf>
    <xf numFmtId="0" fontId="4" fillId="3" borderId="5" xfId="2" applyFill="1" applyBorder="1" applyAlignment="1">
      <alignment vertical="top"/>
    </xf>
    <xf numFmtId="0" fontId="4" fillId="3" borderId="7" xfId="2" applyFill="1" applyBorder="1" applyAlignment="1">
      <alignment vertical="top"/>
    </xf>
    <xf numFmtId="0" fontId="4" fillId="3" borderId="3" xfId="2" applyFill="1" applyBorder="1" applyAlignment="1">
      <alignment vertical="center"/>
    </xf>
    <xf numFmtId="0" fontId="4" fillId="3" borderId="2" xfId="2" applyFill="1" applyBorder="1" applyAlignment="1">
      <alignment vertical="center"/>
    </xf>
    <xf numFmtId="0" fontId="9" fillId="3" borderId="8" xfId="2" applyFont="1" applyFill="1" applyBorder="1" applyAlignment="1">
      <alignment vertical="top"/>
    </xf>
    <xf numFmtId="0" fontId="8" fillId="3" borderId="0" xfId="2" applyFont="1" applyFill="1" applyBorder="1" applyAlignment="1">
      <alignment vertical="top" wrapText="1"/>
    </xf>
    <xf numFmtId="0" fontId="8" fillId="3" borderId="9" xfId="2" applyFont="1" applyFill="1" applyBorder="1" applyAlignment="1">
      <alignment vertical="top"/>
    </xf>
    <xf numFmtId="0" fontId="8" fillId="3" borderId="10" xfId="2" applyFont="1" applyFill="1" applyBorder="1" applyAlignment="1">
      <alignment vertical="top"/>
    </xf>
    <xf numFmtId="0" fontId="8" fillId="3" borderId="3" xfId="2" applyFont="1" applyFill="1" applyBorder="1" applyAlignment="1">
      <alignment vertical="center"/>
    </xf>
    <xf numFmtId="0" fontId="8" fillId="3" borderId="2" xfId="2" applyFont="1" applyFill="1" applyBorder="1" applyAlignment="1">
      <alignment vertical="center"/>
    </xf>
    <xf numFmtId="0" fontId="8" fillId="3" borderId="8" xfId="2" applyFont="1" applyFill="1" applyBorder="1" applyAlignment="1">
      <alignment vertical="top" wrapText="1"/>
    </xf>
    <xf numFmtId="0" fontId="8" fillId="3" borderId="5" xfId="2" applyFont="1" applyFill="1" applyBorder="1" applyAlignment="1">
      <alignment vertical="top"/>
    </xf>
    <xf numFmtId="0" fontId="8" fillId="3" borderId="7" xfId="2" applyFont="1" applyFill="1" applyBorder="1" applyAlignment="1">
      <alignment vertical="top"/>
    </xf>
    <xf numFmtId="0" fontId="8" fillId="3" borderId="9" xfId="2" applyFont="1" applyFill="1" applyBorder="1" applyAlignment="1">
      <alignment vertical="top" wrapText="1"/>
    </xf>
    <xf numFmtId="0" fontId="8" fillId="3" borderId="11" xfId="2" applyFont="1" applyFill="1" applyBorder="1" applyAlignment="1">
      <alignment vertical="top" wrapText="1"/>
    </xf>
    <xf numFmtId="0" fontId="8" fillId="3" borderId="4" xfId="2" applyFont="1" applyFill="1" applyBorder="1" applyAlignment="1">
      <alignment vertical="center"/>
    </xf>
    <xf numFmtId="0" fontId="10" fillId="0" borderId="0" xfId="2" applyFont="1">
      <alignment vertical="center"/>
    </xf>
    <xf numFmtId="0" fontId="8" fillId="7" borderId="1" xfId="2" applyFont="1" applyFill="1" applyBorder="1" applyAlignment="1">
      <alignment horizontal="center" vertical="center" wrapText="1"/>
    </xf>
    <xf numFmtId="0" fontId="8" fillId="7" borderId="1" xfId="2" applyFont="1" applyFill="1" applyBorder="1" applyAlignment="1">
      <alignment horizontal="center" vertical="center"/>
    </xf>
    <xf numFmtId="0" fontId="12" fillId="5" borderId="1" xfId="2" applyFont="1" applyFill="1" applyBorder="1" applyAlignment="1">
      <alignment horizontal="center" vertical="center" wrapText="1"/>
    </xf>
    <xf numFmtId="0" fontId="12" fillId="5" borderId="1" xfId="2" applyFont="1" applyFill="1" applyBorder="1" applyAlignment="1">
      <alignment horizontal="center" vertical="center"/>
    </xf>
    <xf numFmtId="0" fontId="13" fillId="5" borderId="1" xfId="2" applyFont="1" applyFill="1" applyBorder="1" applyAlignment="1">
      <alignment horizontal="center" vertical="center" wrapText="1"/>
    </xf>
    <xf numFmtId="0" fontId="9" fillId="2" borderId="3" xfId="2" applyFont="1" applyFill="1" applyBorder="1" applyAlignment="1">
      <alignment vertical="center"/>
    </xf>
    <xf numFmtId="0" fontId="13" fillId="6" borderId="1" xfId="2" applyFont="1" applyFill="1" applyBorder="1" applyAlignment="1">
      <alignment horizontal="center" vertical="center" wrapText="1"/>
    </xf>
    <xf numFmtId="0" fontId="13" fillId="6" borderId="1" xfId="2" applyFont="1" applyFill="1" applyBorder="1" applyAlignment="1">
      <alignment horizontal="center" vertical="center"/>
    </xf>
    <xf numFmtId="0" fontId="14" fillId="8" borderId="0" xfId="4" applyFont="1" applyFill="1">
      <alignment vertical="center"/>
    </xf>
    <xf numFmtId="0" fontId="14" fillId="0" borderId="0" xfId="4" applyFont="1">
      <alignment vertical="center"/>
    </xf>
    <xf numFmtId="0" fontId="17" fillId="8" borderId="0" xfId="4" applyFont="1" applyFill="1" applyAlignment="1">
      <alignment vertical="center"/>
    </xf>
    <xf numFmtId="0" fontId="18" fillId="8" borderId="0" xfId="4" applyFont="1" applyFill="1">
      <alignment vertical="center"/>
    </xf>
    <xf numFmtId="0" fontId="18" fillId="0" borderId="0" xfId="4" applyFont="1">
      <alignment vertical="center"/>
    </xf>
    <xf numFmtId="0" fontId="14" fillId="9" borderId="15" xfId="4" applyFont="1" applyFill="1" applyBorder="1">
      <alignment vertical="center"/>
    </xf>
    <xf numFmtId="0" fontId="14" fillId="9" borderId="16" xfId="4" applyFont="1" applyFill="1" applyBorder="1">
      <alignment vertical="center"/>
    </xf>
    <xf numFmtId="0" fontId="14" fillId="9" borderId="17" xfId="4" applyFont="1" applyFill="1" applyBorder="1">
      <alignment vertical="center"/>
    </xf>
    <xf numFmtId="0" fontId="14" fillId="9" borderId="18" xfId="4" applyFont="1" applyFill="1" applyBorder="1">
      <alignment vertical="center"/>
    </xf>
    <xf numFmtId="0" fontId="14" fillId="9" borderId="0" xfId="4" applyFont="1" applyFill="1" applyBorder="1">
      <alignment vertical="center"/>
    </xf>
    <xf numFmtId="0" fontId="14" fillId="9" borderId="19" xfId="4" applyFont="1" applyFill="1" applyBorder="1">
      <alignment vertical="center"/>
    </xf>
    <xf numFmtId="0" fontId="14" fillId="9" borderId="20" xfId="4" applyFont="1" applyFill="1" applyBorder="1">
      <alignment vertical="center"/>
    </xf>
    <xf numFmtId="0" fontId="14" fillId="9" borderId="14" xfId="4" applyFont="1" applyFill="1" applyBorder="1">
      <alignment vertical="center"/>
    </xf>
    <xf numFmtId="0" fontId="14" fillId="9" borderId="21" xfId="4" applyFont="1" applyFill="1" applyBorder="1">
      <alignment vertical="center"/>
    </xf>
    <xf numFmtId="0" fontId="14" fillId="0" borderId="0" xfId="0" applyFont="1">
      <alignment vertical="center"/>
    </xf>
    <xf numFmtId="0" fontId="20" fillId="0" borderId="0" xfId="0" applyFont="1">
      <alignment vertical="center"/>
    </xf>
    <xf numFmtId="0" fontId="13" fillId="5" borderId="1" xfId="2" applyFont="1" applyFill="1" applyBorder="1" applyAlignment="1">
      <alignment horizontal="center" vertical="center"/>
    </xf>
    <xf numFmtId="0" fontId="22" fillId="0" borderId="0" xfId="5" applyFont="1" applyFill="1" applyBorder="1" applyAlignment="1">
      <alignment vertical="center"/>
    </xf>
    <xf numFmtId="0" fontId="4" fillId="0" borderId="0" xfId="2" applyFont="1" applyAlignment="1">
      <alignment horizontal="center" vertical="center"/>
    </xf>
    <xf numFmtId="0" fontId="8" fillId="2" borderId="1" xfId="2" applyFont="1" applyFill="1" applyBorder="1" applyAlignment="1">
      <alignment horizontal="left" vertical="center"/>
    </xf>
    <xf numFmtId="0" fontId="4" fillId="0" borderId="0" xfId="2" applyFont="1" applyBorder="1">
      <alignment vertical="center"/>
    </xf>
    <xf numFmtId="0" fontId="26" fillId="3" borderId="4" xfId="2" applyFont="1" applyFill="1" applyBorder="1" applyAlignment="1">
      <alignment vertical="center"/>
    </xf>
    <xf numFmtId="0" fontId="26" fillId="3" borderId="2" xfId="2" applyFont="1" applyFill="1" applyBorder="1" applyAlignment="1">
      <alignment vertical="center"/>
    </xf>
    <xf numFmtId="0" fontId="10" fillId="0" borderId="0" xfId="2" applyFont="1" applyAlignment="1">
      <alignment horizontal="left"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0" fontId="13" fillId="12" borderId="1" xfId="2" applyFont="1" applyFill="1" applyBorder="1" applyAlignment="1">
      <alignment horizontal="center" vertical="center" wrapText="1"/>
    </xf>
    <xf numFmtId="0" fontId="13" fillId="3" borderId="1" xfId="2" applyFont="1" applyFill="1" applyBorder="1" applyAlignment="1">
      <alignment horizontal="center" vertical="center" wrapText="1"/>
    </xf>
    <xf numFmtId="0" fontId="14" fillId="0" borderId="0" xfId="0" quotePrefix="1" applyFont="1">
      <alignment vertical="center"/>
    </xf>
    <xf numFmtId="176" fontId="4" fillId="0" borderId="0" xfId="2" applyNumberFormat="1">
      <alignment vertical="center"/>
    </xf>
    <xf numFmtId="176" fontId="10" fillId="0" borderId="0" xfId="2" applyNumberFormat="1" applyFont="1">
      <alignment vertical="center"/>
    </xf>
    <xf numFmtId="176" fontId="8" fillId="0" borderId="0" xfId="2" applyNumberFormat="1" applyFont="1">
      <alignment vertical="center"/>
    </xf>
    <xf numFmtId="176" fontId="8" fillId="0" borderId="0" xfId="2" applyNumberFormat="1" applyFont="1" applyFill="1">
      <alignment vertical="center"/>
    </xf>
    <xf numFmtId="176" fontId="4" fillId="0" borderId="0" xfId="2" applyNumberFormat="1" applyFont="1">
      <alignment vertical="center"/>
    </xf>
    <xf numFmtId="0" fontId="4" fillId="0" borderId="1" xfId="2" applyBorder="1" applyAlignment="1">
      <alignment vertical="center"/>
    </xf>
    <xf numFmtId="0" fontId="8" fillId="0" borderId="1" xfId="2" applyFont="1" applyBorder="1" applyAlignment="1">
      <alignment vertical="center"/>
    </xf>
    <xf numFmtId="0" fontId="28" fillId="0" borderId="0" xfId="0" applyFont="1" applyFill="1">
      <alignment vertical="center"/>
    </xf>
    <xf numFmtId="0" fontId="29" fillId="0" borderId="0" xfId="0" applyFont="1" applyFill="1">
      <alignment vertical="center"/>
    </xf>
    <xf numFmtId="0" fontId="14" fillId="10" borderId="1" xfId="0" applyFont="1" applyFill="1" applyBorder="1" applyAlignment="1">
      <alignment horizontal="center" vertical="center"/>
    </xf>
    <xf numFmtId="0" fontId="4" fillId="0" borderId="0" xfId="2" applyFont="1" applyFill="1" applyAlignment="1">
      <alignment horizontal="center" vertical="center"/>
    </xf>
    <xf numFmtId="0" fontId="4" fillId="0" borderId="0" xfId="2" applyFont="1" applyFill="1">
      <alignment vertical="center"/>
    </xf>
    <xf numFmtId="0" fontId="4" fillId="0" borderId="0" xfId="2" applyFill="1">
      <alignment vertical="center"/>
    </xf>
    <xf numFmtId="176" fontId="4" fillId="0" borderId="0" xfId="2" applyNumberFormat="1" applyFont="1" applyFill="1">
      <alignment vertical="center"/>
    </xf>
    <xf numFmtId="0" fontId="4" fillId="0" borderId="0" xfId="2" applyFont="1" applyFill="1" applyAlignment="1" applyProtection="1">
      <alignment horizontal="center" vertical="center"/>
      <protection locked="0"/>
    </xf>
    <xf numFmtId="0" fontId="4" fillId="0" borderId="0" xfId="2" applyFont="1" applyFill="1" applyProtection="1">
      <alignment vertical="center"/>
      <protection locked="0"/>
    </xf>
    <xf numFmtId="0" fontId="4" fillId="0" borderId="0" xfId="2" applyFont="1" applyFill="1" applyProtection="1">
      <alignment vertical="center"/>
    </xf>
    <xf numFmtId="0" fontId="4" fillId="0" borderId="0" xfId="2" applyFill="1" applyBorder="1">
      <alignment vertical="center"/>
    </xf>
    <xf numFmtId="0" fontId="14" fillId="0" borderId="22" xfId="0" applyFont="1" applyBorder="1">
      <alignment vertical="center"/>
    </xf>
    <xf numFmtId="0" fontId="14" fillId="0" borderId="23" xfId="0" applyFont="1" applyBorder="1">
      <alignment vertical="center"/>
    </xf>
    <xf numFmtId="0" fontId="14" fillId="0" borderId="24" xfId="0" applyFont="1" applyBorder="1">
      <alignment vertical="center"/>
    </xf>
    <xf numFmtId="176" fontId="4" fillId="0" borderId="0" xfId="2" applyNumberFormat="1" applyFont="1" applyFill="1" applyBorder="1">
      <alignment vertical="center"/>
    </xf>
    <xf numFmtId="0" fontId="13" fillId="0" borderId="12" xfId="2" applyFont="1" applyFill="1" applyBorder="1" applyAlignment="1">
      <alignment horizontal="center" vertical="center" wrapText="1"/>
    </xf>
    <xf numFmtId="0" fontId="4" fillId="0" borderId="25" xfId="2" applyFill="1" applyBorder="1">
      <alignment vertical="center"/>
    </xf>
    <xf numFmtId="0" fontId="4" fillId="0" borderId="25" xfId="2" applyFont="1" applyFill="1" applyBorder="1">
      <alignment vertical="center"/>
    </xf>
    <xf numFmtId="0" fontId="4" fillId="0" borderId="25" xfId="2" applyFont="1" applyFill="1" applyBorder="1" applyProtection="1">
      <alignment vertical="center"/>
      <protection locked="0"/>
    </xf>
    <xf numFmtId="0" fontId="4" fillId="15" borderId="25" xfId="2" applyFont="1" applyFill="1" applyBorder="1" applyAlignment="1" applyProtection="1">
      <alignment horizontal="center" vertical="center"/>
    </xf>
    <xf numFmtId="0" fontId="4" fillId="14" borderId="25" xfId="2" applyFont="1" applyFill="1" applyBorder="1" applyProtection="1">
      <alignment vertical="center"/>
      <protection locked="0"/>
    </xf>
    <xf numFmtId="0" fontId="4" fillId="15" borderId="25" xfId="2" applyFont="1" applyFill="1" applyBorder="1" applyProtection="1">
      <alignment vertical="center"/>
    </xf>
    <xf numFmtId="0" fontId="4" fillId="0" borderId="25" xfId="2" applyFont="1" applyFill="1" applyBorder="1" applyAlignment="1" applyProtection="1">
      <alignment horizontal="center" vertical="center"/>
      <protection locked="0"/>
    </xf>
    <xf numFmtId="0" fontId="4" fillId="0" borderId="25" xfId="2" applyFont="1" applyFill="1" applyBorder="1" applyAlignment="1">
      <alignment horizontal="center" vertical="center"/>
    </xf>
    <xf numFmtId="0" fontId="4" fillId="0" borderId="25" xfId="2" applyFont="1" applyFill="1" applyBorder="1" applyProtection="1">
      <alignment vertical="center"/>
    </xf>
    <xf numFmtId="0" fontId="4" fillId="8" borderId="25" xfId="2" applyFill="1" applyBorder="1" applyProtection="1">
      <alignment vertical="center"/>
      <protection locked="0"/>
    </xf>
    <xf numFmtId="0" fontId="4" fillId="0" borderId="25" xfId="2" applyFill="1" applyBorder="1" applyProtection="1">
      <alignment vertical="center"/>
      <protection locked="0"/>
    </xf>
    <xf numFmtId="0" fontId="4" fillId="15" borderId="25" xfId="2" applyFill="1" applyBorder="1" applyProtection="1">
      <alignment vertical="center"/>
    </xf>
    <xf numFmtId="0" fontId="4" fillId="14" borderId="25" xfId="2" applyFill="1" applyBorder="1" applyProtection="1">
      <alignment vertical="center"/>
      <protection locked="0"/>
    </xf>
    <xf numFmtId="0" fontId="4" fillId="8" borderId="25" xfId="2" applyFont="1" applyFill="1" applyBorder="1" applyProtection="1">
      <alignment vertical="center"/>
      <protection locked="0"/>
    </xf>
    <xf numFmtId="0" fontId="4" fillId="8" borderId="25" xfId="2" applyFont="1" applyFill="1" applyBorder="1" applyAlignment="1" applyProtection="1">
      <alignment horizontal="center" vertical="center"/>
      <protection locked="0"/>
    </xf>
    <xf numFmtId="0" fontId="4" fillId="0" borderId="26" xfId="2" applyFill="1" applyBorder="1">
      <alignment vertical="center"/>
    </xf>
    <xf numFmtId="0" fontId="4" fillId="0" borderId="27" xfId="2" applyFill="1" applyBorder="1">
      <alignment vertical="center"/>
    </xf>
    <xf numFmtId="0" fontId="4" fillId="0" borderId="27" xfId="2" applyFont="1" applyFill="1" applyBorder="1">
      <alignment vertical="center"/>
    </xf>
    <xf numFmtId="0" fontId="4" fillId="0" borderId="27" xfId="2" applyFont="1" applyFill="1" applyBorder="1" applyProtection="1">
      <alignment vertical="center"/>
      <protection locked="0"/>
    </xf>
    <xf numFmtId="0" fontId="4" fillId="15" borderId="27" xfId="2" applyFont="1" applyFill="1" applyBorder="1" applyAlignment="1" applyProtection="1">
      <alignment horizontal="center" vertical="center"/>
    </xf>
    <xf numFmtId="0" fontId="4" fillId="14" borderId="27" xfId="2" applyFont="1" applyFill="1" applyBorder="1" applyProtection="1">
      <alignment vertical="center"/>
      <protection locked="0"/>
    </xf>
    <xf numFmtId="0" fontId="4" fillId="15" borderId="27" xfId="2" applyFont="1" applyFill="1" applyBorder="1" applyProtection="1">
      <alignment vertical="center"/>
    </xf>
    <xf numFmtId="0" fontId="4" fillId="0" borderId="27" xfId="2" applyFont="1" applyFill="1" applyBorder="1" applyAlignment="1" applyProtection="1">
      <alignment horizontal="center" vertical="center"/>
      <protection locked="0"/>
    </xf>
    <xf numFmtId="0" fontId="4" fillId="0" borderId="29" xfId="2" applyFill="1" applyBorder="1">
      <alignment vertical="center"/>
    </xf>
    <xf numFmtId="0" fontId="4" fillId="0" borderId="30" xfId="2" applyFont="1" applyFill="1" applyBorder="1">
      <alignment vertical="center"/>
    </xf>
    <xf numFmtId="0" fontId="4" fillId="0" borderId="31" xfId="2" applyFill="1" applyBorder="1">
      <alignment vertical="center"/>
    </xf>
    <xf numFmtId="0" fontId="4" fillId="0" borderId="32" xfId="2" applyFill="1" applyBorder="1">
      <alignment vertical="center"/>
    </xf>
    <xf numFmtId="0" fontId="4" fillId="0" borderId="32" xfId="2" applyFont="1" applyFill="1" applyBorder="1">
      <alignment vertical="center"/>
    </xf>
    <xf numFmtId="0" fontId="4" fillId="0" borderId="32" xfId="2" applyFont="1" applyFill="1" applyBorder="1" applyAlignment="1">
      <alignment vertical="center" wrapText="1"/>
    </xf>
    <xf numFmtId="0" fontId="4" fillId="8" borderId="32" xfId="2" applyFont="1" applyFill="1" applyBorder="1" applyProtection="1">
      <alignment vertical="center"/>
      <protection locked="0"/>
    </xf>
    <xf numFmtId="0" fontId="4" fillId="8" borderId="32" xfId="2" applyFont="1" applyFill="1" applyBorder="1" applyAlignment="1" applyProtection="1">
      <alignment horizontal="center" vertical="center"/>
      <protection locked="0"/>
    </xf>
    <xf numFmtId="0" fontId="4" fillId="15" borderId="32" xfId="2" applyFont="1" applyFill="1" applyBorder="1" applyProtection="1">
      <alignment vertical="center"/>
    </xf>
    <xf numFmtId="0" fontId="4" fillId="0" borderId="32" xfId="2" applyFont="1" applyFill="1" applyBorder="1" applyProtection="1">
      <alignment vertical="center"/>
      <protection locked="0"/>
    </xf>
    <xf numFmtId="0" fontId="4" fillId="15" borderId="32" xfId="2" applyFont="1" applyFill="1" applyBorder="1" applyAlignment="1" applyProtection="1">
      <alignment horizontal="center" vertical="center"/>
    </xf>
    <xf numFmtId="0" fontId="4" fillId="14" borderId="32" xfId="2" applyFont="1" applyFill="1" applyBorder="1" applyProtection="1">
      <alignment vertical="center"/>
      <protection locked="0"/>
    </xf>
    <xf numFmtId="0" fontId="4" fillId="0" borderId="28" xfId="2" applyFont="1" applyFill="1" applyBorder="1" applyProtection="1">
      <alignment vertical="center"/>
      <protection locked="0"/>
    </xf>
    <xf numFmtId="0" fontId="4" fillId="0" borderId="30" xfId="2" applyFill="1" applyBorder="1" applyProtection="1">
      <alignment vertical="center"/>
      <protection locked="0"/>
    </xf>
    <xf numFmtId="0" fontId="4" fillId="8" borderId="30" xfId="2" applyFill="1" applyBorder="1" applyProtection="1">
      <alignment vertical="center"/>
      <protection locked="0"/>
    </xf>
    <xf numFmtId="0" fontId="4" fillId="8" borderId="30" xfId="2" applyFont="1" applyFill="1" applyBorder="1" applyProtection="1">
      <alignment vertical="center"/>
      <protection locked="0"/>
    </xf>
    <xf numFmtId="0" fontId="4" fillId="8" borderId="33" xfId="2" applyFont="1" applyFill="1" applyBorder="1" applyProtection="1">
      <alignment vertical="center"/>
      <protection locked="0"/>
    </xf>
    <xf numFmtId="0" fontId="14" fillId="0" borderId="23" xfId="0" applyFont="1" applyBorder="1" applyAlignment="1">
      <alignment vertical="center" wrapText="1"/>
    </xf>
    <xf numFmtId="0" fontId="4" fillId="0" borderId="32" xfId="2" applyFont="1" applyFill="1" applyBorder="1" applyAlignment="1" applyProtection="1">
      <alignment vertical="center" wrapText="1"/>
      <protection locked="0"/>
    </xf>
    <xf numFmtId="0" fontId="4" fillId="14" borderId="27" xfId="2" applyFont="1" applyFill="1" applyBorder="1" applyAlignment="1" applyProtection="1">
      <alignment vertical="center" wrapText="1"/>
      <protection locked="0"/>
    </xf>
    <xf numFmtId="0" fontId="15" fillId="8" borderId="0" xfId="4" applyFont="1" applyFill="1" applyAlignment="1">
      <alignment horizontal="center" vertical="center"/>
    </xf>
    <xf numFmtId="0" fontId="19" fillId="8" borderId="14" xfId="4" applyFont="1" applyFill="1" applyBorder="1" applyAlignment="1">
      <alignment horizontal="center" vertical="center"/>
    </xf>
    <xf numFmtId="0" fontId="23" fillId="11" borderId="0" xfId="2" applyFont="1" applyFill="1" applyAlignment="1">
      <alignment horizontal="center" wrapText="1"/>
    </xf>
    <xf numFmtId="0" fontId="24" fillId="11" borderId="0" xfId="2" applyFont="1" applyFill="1" applyAlignment="1">
      <alignment horizontal="center" wrapText="1"/>
    </xf>
    <xf numFmtId="0" fontId="25" fillId="11" borderId="0" xfId="2" applyFont="1" applyFill="1" applyAlignment="1">
      <alignment horizontal="center" vertical="center"/>
    </xf>
    <xf numFmtId="0" fontId="8" fillId="3" borderId="3" xfId="2" applyFont="1" applyFill="1" applyBorder="1" applyAlignment="1">
      <alignment horizontal="center" vertical="center"/>
    </xf>
    <xf numFmtId="0" fontId="8" fillId="3" borderId="4" xfId="2" applyFont="1" applyFill="1" applyBorder="1" applyAlignment="1">
      <alignment horizontal="center" vertical="center"/>
    </xf>
    <xf numFmtId="0" fontId="8" fillId="3" borderId="2" xfId="2" applyFont="1" applyFill="1" applyBorder="1" applyAlignment="1">
      <alignment horizontal="center" vertical="center"/>
    </xf>
    <xf numFmtId="0" fontId="13" fillId="4" borderId="12" xfId="2" applyFont="1" applyFill="1" applyBorder="1" applyAlignment="1">
      <alignment horizontal="center" vertical="center" wrapText="1"/>
    </xf>
    <xf numFmtId="0" fontId="13" fillId="4" borderId="13" xfId="2" applyFont="1" applyFill="1" applyBorder="1" applyAlignment="1">
      <alignment horizontal="center" vertical="center" wrapText="1"/>
    </xf>
    <xf numFmtId="0" fontId="8" fillId="4" borderId="3" xfId="2" applyFont="1" applyFill="1" applyBorder="1" applyAlignment="1">
      <alignment horizontal="center" vertical="center"/>
    </xf>
    <xf numFmtId="0" fontId="8" fillId="4" borderId="4" xfId="2" applyFont="1" applyFill="1" applyBorder="1" applyAlignment="1">
      <alignment horizontal="center" vertical="center"/>
    </xf>
    <xf numFmtId="0" fontId="8" fillId="4" borderId="2" xfId="2" applyFont="1" applyFill="1" applyBorder="1" applyAlignment="1">
      <alignment horizontal="center" vertical="center"/>
    </xf>
    <xf numFmtId="0" fontId="12" fillId="5" borderId="12" xfId="2" applyFont="1" applyFill="1" applyBorder="1" applyAlignment="1">
      <alignment horizontal="center" vertical="center" wrapText="1"/>
    </xf>
    <xf numFmtId="0" fontId="12" fillId="5" borderId="13" xfId="2" applyFont="1" applyFill="1" applyBorder="1" applyAlignment="1">
      <alignment horizontal="center" vertical="center" wrapText="1"/>
    </xf>
    <xf numFmtId="0" fontId="13" fillId="6" borderId="4" xfId="2" applyFont="1" applyFill="1" applyBorder="1" applyAlignment="1">
      <alignment horizontal="center" vertical="center"/>
    </xf>
    <xf numFmtId="0" fontId="13" fillId="6" borderId="2" xfId="2" applyFont="1" applyFill="1" applyBorder="1" applyAlignment="1">
      <alignment horizontal="center" vertical="center"/>
    </xf>
    <xf numFmtId="0" fontId="13" fillId="5" borderId="5" xfId="2" applyFont="1" applyFill="1" applyBorder="1" applyAlignment="1">
      <alignment horizontal="center" vertical="center" wrapText="1"/>
    </xf>
    <xf numFmtId="0" fontId="13" fillId="5" borderId="6" xfId="2" applyFont="1" applyFill="1" applyBorder="1" applyAlignment="1">
      <alignment horizontal="center" vertical="center" wrapText="1"/>
    </xf>
    <xf numFmtId="0" fontId="13" fillId="5" borderId="7" xfId="2" applyFont="1" applyFill="1" applyBorder="1" applyAlignment="1">
      <alignment horizontal="center" vertical="center" wrapText="1"/>
    </xf>
    <xf numFmtId="0" fontId="13" fillId="5" borderId="1" xfId="2" applyFont="1" applyFill="1" applyBorder="1" applyAlignment="1">
      <alignment horizontal="center" vertical="center"/>
    </xf>
    <xf numFmtId="0" fontId="13" fillId="12" borderId="1" xfId="2" applyFont="1" applyFill="1" applyBorder="1" applyAlignment="1">
      <alignment horizontal="center" vertical="center"/>
    </xf>
    <xf numFmtId="0" fontId="13" fillId="3" borderId="1" xfId="2" applyFont="1" applyFill="1" applyBorder="1" applyAlignment="1">
      <alignment horizontal="center" vertical="center"/>
    </xf>
    <xf numFmtId="0" fontId="10" fillId="13" borderId="1" xfId="2" applyFont="1" applyFill="1" applyBorder="1" applyAlignment="1">
      <alignment horizontal="center" vertical="center"/>
    </xf>
    <xf numFmtId="0" fontId="13" fillId="3" borderId="12" xfId="2" applyFont="1" applyFill="1" applyBorder="1" applyAlignment="1">
      <alignment horizontal="center" vertical="center" wrapText="1"/>
    </xf>
    <xf numFmtId="0" fontId="13" fillId="3" borderId="13" xfId="2" applyFont="1" applyFill="1" applyBorder="1" applyAlignment="1">
      <alignment horizontal="center" vertical="center" wrapText="1"/>
    </xf>
    <xf numFmtId="0" fontId="8" fillId="0" borderId="5" xfId="2" applyFont="1" applyFill="1" applyBorder="1" applyAlignment="1">
      <alignment horizontal="center" vertical="center" wrapText="1"/>
    </xf>
    <xf numFmtId="0" fontId="8" fillId="0" borderId="6" xfId="2" applyFont="1" applyFill="1" applyBorder="1" applyAlignment="1">
      <alignment horizontal="center" vertical="center" wrapText="1"/>
    </xf>
    <xf numFmtId="0" fontId="8" fillId="0" borderId="7" xfId="2" applyFont="1" applyFill="1" applyBorder="1" applyAlignment="1">
      <alignment horizontal="center" vertical="center" wrapText="1"/>
    </xf>
    <xf numFmtId="0" fontId="13" fillId="0" borderId="5" xfId="2" applyFont="1" applyFill="1" applyBorder="1" applyAlignment="1">
      <alignment horizontal="center" vertical="center" wrapText="1"/>
    </xf>
    <xf numFmtId="0" fontId="13" fillId="0" borderId="6" xfId="2" applyFont="1" applyFill="1" applyBorder="1" applyAlignment="1">
      <alignment horizontal="center" vertical="center" wrapText="1"/>
    </xf>
    <xf numFmtId="0" fontId="13" fillId="0" borderId="7" xfId="2" applyFont="1" applyFill="1" applyBorder="1" applyAlignment="1">
      <alignment horizontal="center" vertical="center" wrapText="1"/>
    </xf>
    <xf numFmtId="0" fontId="13" fillId="0" borderId="6" xfId="2" applyFont="1" applyFill="1" applyBorder="1" applyAlignment="1">
      <alignment horizontal="center" vertical="center"/>
    </xf>
    <xf numFmtId="0" fontId="13" fillId="0" borderId="7" xfId="2" applyFont="1" applyFill="1" applyBorder="1" applyAlignment="1">
      <alignment horizontal="center" vertical="center"/>
    </xf>
    <xf numFmtId="0" fontId="13" fillId="6" borderId="3" xfId="2" applyFont="1" applyFill="1" applyBorder="1" applyAlignment="1">
      <alignment horizontal="center" vertical="center"/>
    </xf>
    <xf numFmtId="0" fontId="13" fillId="6" borderId="1" xfId="2" applyFont="1" applyFill="1" applyBorder="1" applyAlignment="1">
      <alignment horizontal="center" vertical="center"/>
    </xf>
    <xf numFmtId="0" fontId="13" fillId="6" borderId="2" xfId="2" applyFont="1" applyFill="1" applyBorder="1" applyAlignment="1">
      <alignment horizontal="center" vertical="center" wrapText="1"/>
    </xf>
  </cellXfs>
  <cellStyles count="6">
    <cellStyle name="標準" xfId="0" builtinId="0"/>
    <cellStyle name="標準 2" xfId="1" xr:uid="{00000000-0005-0000-0000-000001000000}"/>
    <cellStyle name="標準 3" xfId="2" xr:uid="{00000000-0005-0000-0000-000002000000}"/>
    <cellStyle name="標準 3 2" xfId="5" xr:uid="{8553DAB9-3BF2-4223-9800-703A8A0C3D98}"/>
    <cellStyle name="標準 4" xfId="4" xr:uid="{DF0C5FD4-75E3-4A10-AB21-AD1AFA25F196}"/>
    <cellStyle name="標準 5" xfId="3" xr:uid="{00000000-0005-0000-0000-000003000000}"/>
  </cellStyles>
  <dxfs count="0"/>
  <tableStyles count="0" defaultTableStyle="TableStyleMedium2" defaultPivotStyle="PivotStyleLight16"/>
  <colors>
    <mruColors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17367</xdr:colOff>
      <xdr:row>1</xdr:row>
      <xdr:rowOff>47625</xdr:rowOff>
    </xdr:from>
    <xdr:to>
      <xdr:col>15</xdr:col>
      <xdr:colOff>449356</xdr:colOff>
      <xdr:row>2</xdr:row>
      <xdr:rowOff>11206</xdr:rowOff>
    </xdr:to>
    <xdr:sp macro="" textlink="">
      <xdr:nvSpPr>
        <xdr:cNvPr id="2" name="Rectangle 17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9790017" y="190500"/>
          <a:ext cx="1127314" cy="268381"/>
        </a:xfrm>
        <a:prstGeom prst="rect">
          <a:avLst/>
        </a:prstGeom>
        <a:solidFill>
          <a:sysClr val="window" lastClr="FFFFFF"/>
        </a:solidFill>
        <a:ln w="15875">
          <a:solidFill>
            <a:srgbClr val="FF0000"/>
          </a:solidFill>
          <a:miter lim="800000"/>
          <a:headEnd/>
          <a:tailEnd/>
        </a:ln>
        <a:extLst/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FF0000"/>
              </a:solidFill>
              <a:latin typeface="Arial"/>
              <a:cs typeface="Arial"/>
            </a:rPr>
            <a:t>Confidential</a:t>
          </a:r>
        </a:p>
      </xdr:txBody>
    </xdr:sp>
    <xdr:clientData/>
  </xdr:twoCellAnchor>
  <xdr:twoCellAnchor>
    <xdr:from>
      <xdr:col>5</xdr:col>
      <xdr:colOff>161925</xdr:colOff>
      <xdr:row>1</xdr:row>
      <xdr:rowOff>0</xdr:rowOff>
    </xdr:from>
    <xdr:to>
      <xdr:col>13</xdr:col>
      <xdr:colOff>161925</xdr:colOff>
      <xdr:row>12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981325" y="142875"/>
          <a:ext cx="5905500" cy="1638300"/>
        </a:xfrm>
        <a:prstGeom prst="rect">
          <a:avLst/>
        </a:prstGeom>
        <a:solidFill>
          <a:schemeClr val="bg1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アップロード実施手順の説明文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9</xdr:row>
          <xdr:rowOff>19050</xdr:rowOff>
        </xdr:from>
        <xdr:to>
          <xdr:col>4</xdr:col>
          <xdr:colOff>485775</xdr:colOff>
          <xdr:row>11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エラーチェック実施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60CCC-851A-48B5-8217-009CE64C750A}">
  <sheetPr codeName="Sheet1"/>
  <dimension ref="B2:AB22"/>
  <sheetViews>
    <sheetView view="pageBreakPreview" zoomScaleNormal="100" zoomScaleSheetLayoutView="100" workbookViewId="0">
      <selection activeCell="AK23" sqref="AK23"/>
    </sheetView>
  </sheetViews>
  <sheetFormatPr defaultColWidth="4.125" defaultRowHeight="14.25" x14ac:dyDescent="0.15"/>
  <cols>
    <col min="1" max="16384" width="4.125" style="35"/>
  </cols>
  <sheetData>
    <row r="2" spans="2:28" x14ac:dyDescent="0.15"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</row>
    <row r="3" spans="2:28" x14ac:dyDescent="0.15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</row>
    <row r="4" spans="2:28" ht="16.5" x14ac:dyDescent="0.15">
      <c r="B4" s="34"/>
      <c r="C4" s="129" t="s">
        <v>54</v>
      </c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34"/>
    </row>
    <row r="5" spans="2:28" x14ac:dyDescent="0.15">
      <c r="B5" s="34"/>
      <c r="C5" s="34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4"/>
    </row>
    <row r="6" spans="2:28" s="38" customFormat="1" ht="17.25" thickBot="1" x14ac:dyDescent="0.2">
      <c r="B6" s="37"/>
      <c r="C6" s="130" t="s">
        <v>55</v>
      </c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37"/>
    </row>
    <row r="7" spans="2:28" ht="15" thickTop="1" x14ac:dyDescent="0.15">
      <c r="B7" s="34"/>
      <c r="C7" s="39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1"/>
      <c r="AB7" s="34"/>
    </row>
    <row r="8" spans="2:28" x14ac:dyDescent="0.15">
      <c r="B8" s="34"/>
      <c r="C8" s="42"/>
      <c r="D8" s="43" t="s">
        <v>56</v>
      </c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4"/>
      <c r="AB8" s="34"/>
    </row>
    <row r="9" spans="2:28" x14ac:dyDescent="0.15">
      <c r="B9" s="34"/>
      <c r="C9" s="42"/>
      <c r="D9" s="43" t="s">
        <v>57</v>
      </c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4"/>
      <c r="AB9" s="34"/>
    </row>
    <row r="10" spans="2:28" x14ac:dyDescent="0.15">
      <c r="B10" s="34"/>
      <c r="C10" s="42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4"/>
      <c r="AB10" s="34"/>
    </row>
    <row r="11" spans="2:28" x14ac:dyDescent="0.15">
      <c r="B11" s="34"/>
      <c r="C11" s="42"/>
      <c r="D11" s="43" t="s">
        <v>58</v>
      </c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4"/>
      <c r="AB11" s="34"/>
    </row>
    <row r="12" spans="2:28" x14ac:dyDescent="0.15">
      <c r="B12" s="34"/>
      <c r="C12" s="42"/>
      <c r="D12" s="43"/>
      <c r="E12" s="43" t="s">
        <v>59</v>
      </c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4"/>
      <c r="AB12" s="34"/>
    </row>
    <row r="13" spans="2:28" x14ac:dyDescent="0.15">
      <c r="B13" s="34"/>
      <c r="C13" s="42"/>
      <c r="D13" s="43"/>
      <c r="E13" s="43" t="s">
        <v>60</v>
      </c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4"/>
      <c r="AB13" s="34"/>
    </row>
    <row r="14" spans="2:28" x14ac:dyDescent="0.15">
      <c r="B14" s="34"/>
      <c r="C14" s="42"/>
      <c r="D14" s="43"/>
      <c r="E14" s="43" t="s">
        <v>61</v>
      </c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4"/>
      <c r="AB14" s="34"/>
    </row>
    <row r="15" spans="2:28" x14ac:dyDescent="0.15">
      <c r="B15" s="34"/>
      <c r="C15" s="42"/>
      <c r="D15" s="43"/>
      <c r="E15" s="43" t="s">
        <v>62</v>
      </c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4"/>
      <c r="AB15" s="34"/>
    </row>
    <row r="16" spans="2:28" x14ac:dyDescent="0.15">
      <c r="B16" s="34"/>
      <c r="C16" s="42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4"/>
      <c r="AB16" s="34"/>
    </row>
    <row r="17" spans="2:28" x14ac:dyDescent="0.15">
      <c r="B17" s="34"/>
      <c r="C17" s="42"/>
      <c r="D17" s="43" t="s">
        <v>63</v>
      </c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4"/>
      <c r="AB17" s="34"/>
    </row>
    <row r="18" spans="2:28" x14ac:dyDescent="0.15">
      <c r="B18" s="34"/>
      <c r="C18" s="42"/>
      <c r="D18" s="43"/>
      <c r="E18" s="43" t="s">
        <v>64</v>
      </c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4"/>
      <c r="AB18" s="34"/>
    </row>
    <row r="19" spans="2:28" x14ac:dyDescent="0.15">
      <c r="B19" s="34"/>
      <c r="C19" s="42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4"/>
      <c r="AB19" s="34"/>
    </row>
    <row r="20" spans="2:28" ht="15" thickBot="1" x14ac:dyDescent="0.2">
      <c r="B20" s="34"/>
      <c r="C20" s="45" t="s">
        <v>65</v>
      </c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7"/>
      <c r="AB20" s="34"/>
    </row>
    <row r="21" spans="2:28" ht="15" thickTop="1" x14ac:dyDescent="0.15"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</row>
    <row r="22" spans="2:28" x14ac:dyDescent="0.15"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</row>
  </sheetData>
  <sheetProtection sheet="1" objects="1" scenarios="1"/>
  <mergeCells count="2">
    <mergeCell ref="C4:AA4"/>
    <mergeCell ref="C6:AA6"/>
  </mergeCells>
  <phoneticPr fontId="2"/>
  <pageMargins left="0.7" right="0.7" top="0.75" bottom="0.75" header="0.3" footer="0.3"/>
  <pageSetup paperSize="9" scale="77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5701F-DB00-43B6-8522-2814E796EC8F}">
  <sheetPr codeName="Sheet2"/>
  <dimension ref="A2:DC27"/>
  <sheetViews>
    <sheetView showGridLines="0" tabSelected="1" zoomScaleNormal="100" workbookViewId="0">
      <pane ySplit="16" topLeftCell="A17" activePane="bottomLeft" state="frozen"/>
      <selection pane="bottomLeft" activeCell="A14" sqref="A14"/>
    </sheetView>
  </sheetViews>
  <sheetFormatPr defaultRowHeight="11.25" x14ac:dyDescent="0.15"/>
  <cols>
    <col min="1" max="1" width="2.125" style="2" customWidth="1"/>
    <col min="2" max="2" width="10.875" style="2" customWidth="1"/>
    <col min="3" max="3" width="4.625" style="2" bestFit="1" customWidth="1"/>
    <col min="4" max="4" width="6.75" style="2" bestFit="1" customWidth="1"/>
    <col min="5" max="5" width="12.625" style="2" bestFit="1" customWidth="1"/>
    <col min="6" max="6" width="38.375" style="2" bestFit="1" customWidth="1"/>
    <col min="7" max="7" width="9.125" style="2" bestFit="1" customWidth="1"/>
    <col min="8" max="9" width="4.5" style="2" bestFit="1" customWidth="1"/>
    <col min="10" max="11" width="5.125" style="2" customWidth="1"/>
    <col min="12" max="12" width="8.625" style="2" customWidth="1"/>
    <col min="13" max="13" width="6.25" style="2" customWidth="1"/>
    <col min="14" max="14" width="4.5" style="2" bestFit="1" customWidth="1"/>
    <col min="15" max="15" width="9.125" style="2" bestFit="1" customWidth="1"/>
    <col min="16" max="16" width="12.625" style="2" bestFit="1" customWidth="1"/>
    <col min="17" max="17" width="7.5" style="2" bestFit="1" customWidth="1"/>
    <col min="18" max="18" width="10" style="2" bestFit="1" customWidth="1"/>
    <col min="19" max="19" width="9.125" style="3" bestFit="1" customWidth="1"/>
    <col min="20" max="20" width="7.5" style="3" bestFit="1" customWidth="1"/>
    <col min="21" max="21" width="7.75" style="3" bestFit="1" customWidth="1"/>
    <col min="22" max="22" width="7.75" style="3" customWidth="1"/>
    <col min="23" max="23" width="19.5" style="3" bestFit="1" customWidth="1"/>
    <col min="24" max="24" width="4.5" style="3" bestFit="1" customWidth="1"/>
    <col min="25" max="25" width="9.125" style="3" bestFit="1" customWidth="1"/>
    <col min="26" max="26" width="16" style="3" bestFit="1" customWidth="1"/>
    <col min="27" max="27" width="7.5" style="3" bestFit="1" customWidth="1"/>
    <col min="28" max="28" width="11.75" style="3" bestFit="1" customWidth="1"/>
    <col min="29" max="29" width="11.75" style="3" customWidth="1"/>
    <col min="30" max="30" width="4.5" style="3" bestFit="1" customWidth="1"/>
    <col min="31" max="31" width="13.875" style="3" bestFit="1" customWidth="1"/>
    <col min="32" max="32" width="6.625" style="3" customWidth="1"/>
    <col min="33" max="33" width="16.5" style="3" customWidth="1"/>
    <col min="34" max="34" width="8.625" style="3" customWidth="1"/>
    <col min="35" max="35" width="11.625" style="3" customWidth="1"/>
    <col min="36" max="36" width="8.625" style="3" customWidth="1"/>
    <col min="37" max="37" width="11.625" style="3" customWidth="1"/>
    <col min="38" max="38" width="28.625" style="3" customWidth="1"/>
    <col min="39" max="39" width="9.125" style="52" customWidth="1"/>
    <col min="40" max="40" width="14.375" style="3" customWidth="1"/>
    <col min="41" max="41" width="19.625" style="3" bestFit="1" customWidth="1"/>
    <col min="42" max="42" width="10.875" style="3" customWidth="1"/>
    <col min="43" max="43" width="9.125" style="3" customWidth="1"/>
    <col min="44" max="44" width="17.875" style="3" customWidth="1"/>
    <col min="45" max="45" width="11" style="3" customWidth="1"/>
    <col min="46" max="46" width="14.625" style="3" customWidth="1"/>
    <col min="47" max="47" width="11.75" style="3" customWidth="1"/>
    <col min="48" max="48" width="14.125" style="3" customWidth="1"/>
    <col min="49" max="49" width="14.375" style="3" customWidth="1"/>
    <col min="50" max="50" width="9.125" style="52" customWidth="1"/>
    <col min="51" max="51" width="9.125" style="3" customWidth="1"/>
    <col min="52" max="52" width="19.625" style="3" bestFit="1" customWidth="1"/>
    <col min="53" max="54" width="9.125" style="3" customWidth="1"/>
    <col min="55" max="55" width="17.875" style="3" customWidth="1"/>
    <col min="56" max="56" width="7.5" style="3" customWidth="1"/>
    <col min="57" max="57" width="14.625" style="3" customWidth="1"/>
    <col min="58" max="58" width="11.75" style="3" customWidth="1"/>
    <col min="59" max="59" width="14.125" style="3" customWidth="1"/>
    <col min="60" max="60" width="14.375" style="3" customWidth="1"/>
    <col min="61" max="61" width="9.125" style="52" customWidth="1"/>
    <col min="62" max="62" width="9.125" style="3" customWidth="1"/>
    <col min="63" max="63" width="19.625" style="3" bestFit="1" customWidth="1"/>
    <col min="64" max="65" width="9.125" style="3" customWidth="1"/>
    <col min="66" max="66" width="17.875" style="3" customWidth="1"/>
    <col min="67" max="67" width="7.5" style="3" customWidth="1"/>
    <col min="68" max="68" width="14.625" style="3" customWidth="1"/>
    <col min="69" max="69" width="11.75" style="3" customWidth="1"/>
    <col min="70" max="70" width="14.125" style="3" customWidth="1"/>
    <col min="71" max="71" width="14.375" style="3" customWidth="1"/>
    <col min="72" max="72" width="9.125" style="52" customWidth="1"/>
    <col min="73" max="73" width="9.125" style="3" customWidth="1"/>
    <col min="74" max="74" width="19.625" style="3" bestFit="1" customWidth="1"/>
    <col min="75" max="76" width="9.125" style="3" customWidth="1"/>
    <col min="77" max="77" width="17.875" style="3" customWidth="1"/>
    <col min="78" max="78" width="7.5" style="3" customWidth="1"/>
    <col min="79" max="79" width="14.625" style="3" customWidth="1"/>
    <col min="80" max="80" width="11.75" style="3" customWidth="1"/>
    <col min="81" max="81" width="14.125" style="3" customWidth="1"/>
    <col min="82" max="82" width="14.375" style="3" customWidth="1"/>
    <col min="83" max="83" width="9.125" style="52" customWidth="1"/>
    <col min="84" max="84" width="9.125" style="3" customWidth="1"/>
    <col min="85" max="85" width="19.625" style="3" bestFit="1" customWidth="1"/>
    <col min="86" max="87" width="9.125" style="3" customWidth="1"/>
    <col min="88" max="88" width="17.875" style="3" customWidth="1"/>
    <col min="89" max="89" width="7.5" style="3" customWidth="1"/>
    <col min="90" max="90" width="14.625" style="3" customWidth="1"/>
    <col min="91" max="91" width="11.75" style="3" customWidth="1"/>
    <col min="92" max="92" width="14.125" style="3" customWidth="1"/>
    <col min="93" max="93" width="14.375" style="3" customWidth="1"/>
    <col min="94" max="94" width="9.125" style="52" customWidth="1"/>
    <col min="95" max="95" width="19.625" style="3" bestFit="1" customWidth="1"/>
    <col min="96" max="96" width="9.125" style="3" customWidth="1"/>
    <col min="97" max="97" width="17.875" style="3" customWidth="1"/>
    <col min="98" max="98" width="7.5" style="3" customWidth="1"/>
    <col min="99" max="99" width="14.625" style="3" customWidth="1"/>
    <col min="100" max="100" width="11.75" style="3" customWidth="1"/>
    <col min="101" max="101" width="14.125" style="3" customWidth="1"/>
    <col min="102" max="102" width="14.375" style="3" customWidth="1"/>
    <col min="103" max="103" width="38.125" style="3" customWidth="1"/>
    <col min="104" max="104" width="9" style="63"/>
    <col min="105" max="16384" width="9" style="2"/>
  </cols>
  <sheetData>
    <row r="2" spans="1:107" ht="24" customHeight="1" x14ac:dyDescent="0.15">
      <c r="A2" s="1" t="s">
        <v>0</v>
      </c>
      <c r="B2" s="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</row>
    <row r="3" spans="1:107" ht="11.1" customHeight="1" x14ac:dyDescent="0.15">
      <c r="C3" s="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</row>
    <row r="4" spans="1:107" ht="11.1" customHeight="1" x14ac:dyDescent="0.15">
      <c r="B4" s="131" t="s">
        <v>306</v>
      </c>
      <c r="C4" s="132"/>
      <c r="D4" s="132"/>
      <c r="E4" s="132"/>
      <c r="O4" s="4" t="s">
        <v>1</v>
      </c>
      <c r="P4" s="5"/>
      <c r="Q4" s="31" t="s">
        <v>2</v>
      </c>
      <c r="R4" s="6"/>
      <c r="S4" s="4" t="s">
        <v>3</v>
      </c>
      <c r="T4" s="6"/>
      <c r="U4" s="53" t="s">
        <v>4</v>
      </c>
      <c r="W4" s="51"/>
      <c r="X4" s="51"/>
      <c r="Y4" s="51"/>
      <c r="Z4" s="51"/>
      <c r="AA4" s="51"/>
      <c r="AK4" s="52"/>
      <c r="AM4" s="3"/>
      <c r="AV4" s="52"/>
      <c r="AX4" s="3"/>
      <c r="BG4" s="52"/>
      <c r="BI4" s="3"/>
      <c r="BR4" s="52"/>
      <c r="BT4" s="3"/>
      <c r="CC4" s="52"/>
      <c r="CE4" s="3"/>
      <c r="CN4" s="52"/>
      <c r="CP4" s="3"/>
      <c r="CW4" s="2"/>
      <c r="CX4" s="2"/>
      <c r="CY4" s="2"/>
    </row>
    <row r="5" spans="1:107" ht="11.1" customHeight="1" x14ac:dyDescent="0.15">
      <c r="B5" s="132"/>
      <c r="C5" s="132"/>
      <c r="D5" s="132"/>
      <c r="E5" s="132"/>
      <c r="O5" s="7" t="s">
        <v>5</v>
      </c>
      <c r="P5" s="8"/>
      <c r="Q5" s="9" t="s">
        <v>6</v>
      </c>
      <c r="R5" s="10"/>
      <c r="S5" s="11" t="s">
        <v>70</v>
      </c>
      <c r="T5" s="12"/>
      <c r="U5" s="68">
        <f ca="1">IF(NOW(),COUNTIFS(T:T,"11年目以上",W:W,"5年以上",O:O,"部課長",CZ:CZ,"0"))</f>
        <v>0</v>
      </c>
      <c r="W5" s="51"/>
      <c r="X5" s="51"/>
      <c r="Y5" s="51"/>
      <c r="Z5" s="51"/>
      <c r="AA5" s="51"/>
      <c r="AB5" s="54"/>
      <c r="AC5" s="54"/>
      <c r="AK5" s="52"/>
      <c r="AM5" s="3"/>
      <c r="AV5" s="52"/>
      <c r="AX5" s="3"/>
      <c r="BG5" s="52"/>
      <c r="BI5" s="3"/>
      <c r="BR5" s="52"/>
      <c r="BT5" s="3"/>
      <c r="CC5" s="52"/>
      <c r="CE5" s="3"/>
      <c r="CN5" s="52"/>
      <c r="CP5" s="3"/>
      <c r="CW5" s="2"/>
      <c r="CX5" s="2"/>
      <c r="CY5" s="2"/>
    </row>
    <row r="6" spans="1:107" ht="11.1" customHeight="1" x14ac:dyDescent="0.15">
      <c r="B6" s="132"/>
      <c r="C6" s="132"/>
      <c r="D6" s="132"/>
      <c r="E6" s="132"/>
      <c r="O6" s="13" t="s">
        <v>7</v>
      </c>
      <c r="P6" s="14"/>
      <c r="Q6" s="15"/>
      <c r="R6" s="16"/>
      <c r="S6" s="17" t="s">
        <v>8</v>
      </c>
      <c r="T6" s="18"/>
      <c r="U6" s="69">
        <f ca="1">IF(NOW(),COUNTIFS(T:T,"11年目以上",W:W,"5年以上",O:O,"部課長以外",CZ:CZ,"0"))</f>
        <v>0</v>
      </c>
      <c r="W6" s="51"/>
      <c r="X6" s="51"/>
      <c r="Y6" s="51"/>
      <c r="Z6" s="51"/>
      <c r="AA6" s="51"/>
      <c r="AB6" s="54"/>
      <c r="AC6" s="54"/>
      <c r="AK6" s="52"/>
      <c r="AM6" s="3"/>
      <c r="AV6" s="52"/>
      <c r="AX6" s="3"/>
      <c r="BG6" s="52"/>
      <c r="BI6" s="3"/>
      <c r="BR6" s="52"/>
      <c r="BT6" s="3"/>
      <c r="CC6" s="52"/>
      <c r="CE6" s="3"/>
      <c r="CN6" s="52"/>
      <c r="CP6" s="3"/>
      <c r="CW6" s="2"/>
      <c r="CX6" s="2"/>
      <c r="CY6" s="2"/>
    </row>
    <row r="7" spans="1:107" ht="11.1" customHeight="1" x14ac:dyDescent="0.15">
      <c r="B7" s="133" t="s">
        <v>307</v>
      </c>
      <c r="C7" s="133"/>
      <c r="D7" s="133"/>
      <c r="E7" s="133"/>
      <c r="O7" s="19"/>
      <c r="P7" s="14"/>
      <c r="Q7" s="20" t="s">
        <v>9</v>
      </c>
      <c r="R7" s="21"/>
      <c r="S7" s="17" t="s">
        <v>70</v>
      </c>
      <c r="T7" s="18"/>
      <c r="U7" s="69">
        <f ca="1">IF(NOW(),COUNTIFS(T:T,"11年目以上",W:W,"5年未満",O:O,"部課長",CZ:CZ,"0"))</f>
        <v>0</v>
      </c>
      <c r="W7" s="51"/>
      <c r="X7" s="51"/>
      <c r="Y7" s="51"/>
      <c r="Z7" s="51"/>
      <c r="AA7" s="51"/>
      <c r="AB7" s="54"/>
      <c r="AC7" s="54"/>
      <c r="AK7" s="52"/>
      <c r="AM7" s="3"/>
      <c r="AV7" s="52"/>
      <c r="AX7" s="3"/>
      <c r="BG7" s="52"/>
      <c r="BI7" s="3"/>
      <c r="BR7" s="52"/>
      <c r="BT7" s="3"/>
      <c r="CC7" s="52"/>
      <c r="CE7" s="3"/>
      <c r="CN7" s="52"/>
      <c r="CP7" s="3"/>
      <c r="CW7" s="2"/>
      <c r="CX7" s="2"/>
      <c r="CY7" s="2"/>
    </row>
    <row r="8" spans="1:107" ht="11.1" customHeight="1" x14ac:dyDescent="0.15">
      <c r="B8" s="133"/>
      <c r="C8" s="133"/>
      <c r="D8" s="133"/>
      <c r="E8" s="133"/>
      <c r="O8" s="22"/>
      <c r="P8" s="23"/>
      <c r="Q8" s="15"/>
      <c r="R8" s="16"/>
      <c r="S8" s="17" t="s">
        <v>8</v>
      </c>
      <c r="T8" s="18"/>
      <c r="U8" s="69">
        <f ca="1">IF(NOW(),COUNTIFS(T:T,"11年目以上",W:W,"5年未満",O:O,"部課長以外",CZ:CZ,"0"))</f>
        <v>0</v>
      </c>
      <c r="W8" s="51"/>
      <c r="X8" s="51"/>
      <c r="Y8" s="51"/>
      <c r="Z8" s="51"/>
      <c r="AA8" s="51"/>
      <c r="AB8" s="54"/>
      <c r="AC8" s="54"/>
      <c r="AK8" s="52"/>
      <c r="AM8" s="3"/>
      <c r="AV8" s="52"/>
      <c r="AX8" s="3"/>
      <c r="BG8" s="52"/>
      <c r="BI8" s="3"/>
      <c r="BR8" s="52"/>
      <c r="BT8" s="3"/>
      <c r="CC8" s="52"/>
      <c r="CE8" s="3"/>
      <c r="CN8" s="52"/>
      <c r="CP8" s="3"/>
      <c r="CW8" s="2"/>
      <c r="CX8" s="2"/>
      <c r="CY8" s="2"/>
    </row>
    <row r="9" spans="1:107" ht="11.1" customHeight="1" x14ac:dyDescent="0.15">
      <c r="C9" s="1"/>
      <c r="O9" s="17" t="s">
        <v>10</v>
      </c>
      <c r="P9" s="24"/>
      <c r="Q9" s="24"/>
      <c r="R9" s="24"/>
      <c r="S9" s="24"/>
      <c r="T9" s="18"/>
      <c r="U9" s="69">
        <f ca="1">IF(NOW(),COUNTIFS(T:T,"6～10年目",CZ:CZ,"0"))</f>
        <v>0</v>
      </c>
      <c r="W9" s="51"/>
      <c r="X9" s="51"/>
      <c r="Y9" s="51"/>
      <c r="Z9" s="51"/>
      <c r="AA9" s="51"/>
      <c r="AB9" s="54"/>
      <c r="AC9" s="54"/>
      <c r="AK9" s="52"/>
      <c r="AM9" s="3"/>
      <c r="AV9" s="52"/>
      <c r="AX9" s="3"/>
      <c r="BG9" s="52"/>
      <c r="BI9" s="3"/>
      <c r="BR9" s="52"/>
      <c r="BT9" s="3"/>
      <c r="CC9" s="52"/>
      <c r="CE9" s="3"/>
      <c r="CN9" s="52"/>
      <c r="CP9" s="3"/>
      <c r="CW9" s="2"/>
      <c r="CX9" s="2"/>
      <c r="CY9" s="2"/>
    </row>
    <row r="10" spans="1:107" ht="11.1" customHeight="1" x14ac:dyDescent="0.15">
      <c r="C10" s="1"/>
      <c r="O10" s="17" t="s">
        <v>11</v>
      </c>
      <c r="P10" s="24"/>
      <c r="Q10" s="24"/>
      <c r="R10" s="24"/>
      <c r="S10" s="24"/>
      <c r="T10" s="18"/>
      <c r="U10" s="69">
        <f ca="1">IF(NOW(),COUNTIFS(T:T,"1～5年目",CZ:CZ,"0"))</f>
        <v>0</v>
      </c>
      <c r="W10" s="51"/>
      <c r="X10" s="51"/>
      <c r="Y10" s="51"/>
      <c r="Z10" s="51"/>
      <c r="AA10" s="51"/>
      <c r="AB10" s="54"/>
      <c r="AC10" s="54"/>
      <c r="AK10" s="52"/>
      <c r="AM10" s="3"/>
      <c r="AV10" s="52"/>
      <c r="AX10" s="3"/>
      <c r="BG10" s="52"/>
      <c r="BI10" s="3"/>
      <c r="BR10" s="52"/>
      <c r="BT10" s="3"/>
      <c r="CC10" s="52"/>
      <c r="CE10" s="3"/>
      <c r="CN10" s="52"/>
      <c r="CP10" s="3"/>
      <c r="CW10" s="2"/>
      <c r="CX10" s="2"/>
      <c r="CY10" s="2"/>
    </row>
    <row r="11" spans="1:107" ht="11.1" customHeight="1" x14ac:dyDescent="0.15">
      <c r="C11" s="1"/>
      <c r="O11" s="17" t="s">
        <v>71</v>
      </c>
      <c r="P11" s="55"/>
      <c r="Q11" s="55"/>
      <c r="R11" s="55"/>
      <c r="S11" s="55"/>
      <c r="T11" s="56"/>
      <c r="U11" s="69">
        <f ca="1">IF(NOW(),COUNTIF(CZ:CZ,"1"))</f>
        <v>2</v>
      </c>
      <c r="W11" s="51"/>
      <c r="X11" s="51"/>
      <c r="Y11" s="51"/>
      <c r="Z11" s="51"/>
      <c r="AA11" s="51"/>
      <c r="AB11" s="54"/>
      <c r="AC11" s="54"/>
      <c r="AK11" s="52"/>
      <c r="AM11" s="3"/>
      <c r="AV11" s="52"/>
      <c r="AX11" s="3"/>
      <c r="BG11" s="52"/>
      <c r="BI11" s="3"/>
      <c r="BR11" s="52"/>
      <c r="BT11" s="3"/>
      <c r="CC11" s="52"/>
      <c r="CE11" s="3"/>
      <c r="CN11" s="52"/>
      <c r="CP11" s="3"/>
      <c r="CW11" s="2"/>
      <c r="CX11" s="2"/>
      <c r="CY11" s="2"/>
    </row>
    <row r="12" spans="1:107" ht="11.1" customHeight="1" x14ac:dyDescent="0.15">
      <c r="C12" s="1"/>
      <c r="O12" s="134" t="s">
        <v>12</v>
      </c>
      <c r="P12" s="135"/>
      <c r="Q12" s="135"/>
      <c r="R12" s="135"/>
      <c r="S12" s="135"/>
      <c r="T12" s="136"/>
      <c r="U12" s="69">
        <f ca="1">IF(NOW(),SUM(U5:U11))</f>
        <v>2</v>
      </c>
      <c r="W12" s="51"/>
      <c r="X12" s="51"/>
      <c r="Y12" s="51"/>
      <c r="Z12" s="51"/>
      <c r="AA12" s="51"/>
      <c r="AB12" s="54"/>
      <c r="AC12" s="54"/>
      <c r="AK12" s="52"/>
      <c r="AM12" s="3"/>
      <c r="AV12" s="52"/>
      <c r="AX12" s="3"/>
      <c r="BG12" s="52"/>
      <c r="BI12" s="3"/>
      <c r="BR12" s="52"/>
      <c r="BT12" s="3"/>
      <c r="CC12" s="52"/>
      <c r="CE12" s="3"/>
      <c r="CN12" s="52"/>
      <c r="CP12" s="3"/>
      <c r="CW12" s="2"/>
      <c r="CX12" s="2"/>
      <c r="CY12" s="2"/>
    </row>
    <row r="13" spans="1:107" s="25" customFormat="1" ht="11.1" customHeight="1" x14ac:dyDescent="0.15">
      <c r="AH13" s="57"/>
      <c r="AM13" s="152" t="s">
        <v>258</v>
      </c>
      <c r="AN13" s="152"/>
      <c r="AO13" s="152"/>
      <c r="AP13" s="152"/>
      <c r="AQ13" s="152"/>
      <c r="AR13" s="152"/>
      <c r="AS13" s="152"/>
      <c r="AT13" s="152"/>
      <c r="AU13" s="152"/>
      <c r="AV13" s="152"/>
      <c r="AW13" s="152"/>
      <c r="AX13" s="152" t="s">
        <v>312</v>
      </c>
      <c r="AY13" s="152"/>
      <c r="AZ13" s="152"/>
      <c r="BA13" s="152"/>
      <c r="BB13" s="152"/>
      <c r="BC13" s="152"/>
      <c r="BD13" s="152"/>
      <c r="BE13" s="152"/>
      <c r="BF13" s="152"/>
      <c r="BG13" s="152"/>
      <c r="BH13" s="152"/>
      <c r="BI13" s="152" t="s">
        <v>313</v>
      </c>
      <c r="BJ13" s="152"/>
      <c r="BK13" s="152"/>
      <c r="BL13" s="152"/>
      <c r="BM13" s="152"/>
      <c r="BN13" s="152"/>
      <c r="BO13" s="152"/>
      <c r="BP13" s="152"/>
      <c r="BQ13" s="152"/>
      <c r="BR13" s="152"/>
      <c r="BS13" s="152"/>
      <c r="BT13" s="152" t="s">
        <v>314</v>
      </c>
      <c r="BU13" s="152"/>
      <c r="BV13" s="152"/>
      <c r="BW13" s="152"/>
      <c r="BX13" s="152"/>
      <c r="BY13" s="152"/>
      <c r="BZ13" s="152"/>
      <c r="CA13" s="152"/>
      <c r="CB13" s="152"/>
      <c r="CC13" s="152"/>
      <c r="CD13" s="152"/>
      <c r="CE13" s="152" t="s">
        <v>315</v>
      </c>
      <c r="CF13" s="152"/>
      <c r="CG13" s="152"/>
      <c r="CH13" s="152"/>
      <c r="CI13" s="152"/>
      <c r="CJ13" s="152"/>
      <c r="CK13" s="152"/>
      <c r="CL13" s="152"/>
      <c r="CM13" s="152"/>
      <c r="CN13" s="152"/>
      <c r="CO13" s="152"/>
      <c r="CP13" s="152" t="s">
        <v>316</v>
      </c>
      <c r="CQ13" s="152"/>
      <c r="CR13" s="152"/>
      <c r="CS13" s="152"/>
      <c r="CT13" s="152"/>
      <c r="CU13" s="152"/>
      <c r="CV13" s="152"/>
      <c r="CW13" s="152"/>
      <c r="CX13" s="152"/>
      <c r="CY13" s="57"/>
      <c r="CZ13" s="64"/>
    </row>
    <row r="14" spans="1:107" s="25" customFormat="1" ht="22.5" customHeight="1" x14ac:dyDescent="0.15">
      <c r="B14" s="137" t="s">
        <v>13</v>
      </c>
      <c r="C14" s="137" t="s">
        <v>14</v>
      </c>
      <c r="D14" s="139" t="s">
        <v>15</v>
      </c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1"/>
      <c r="T14" s="142" t="s">
        <v>16</v>
      </c>
      <c r="U14" s="146" t="s">
        <v>17</v>
      </c>
      <c r="V14" s="147"/>
      <c r="W14" s="148"/>
      <c r="X14" s="149" t="s">
        <v>18</v>
      </c>
      <c r="Y14" s="149"/>
      <c r="Z14" s="149"/>
      <c r="AA14" s="149"/>
      <c r="AB14" s="149"/>
      <c r="AC14" s="149"/>
      <c r="AD14" s="149"/>
      <c r="AE14" s="149"/>
      <c r="AF14" s="150" t="s">
        <v>21</v>
      </c>
      <c r="AG14" s="150"/>
      <c r="AH14" s="151" t="s">
        <v>19</v>
      </c>
      <c r="AI14" s="151"/>
      <c r="AJ14" s="151" t="s">
        <v>20</v>
      </c>
      <c r="AK14" s="151"/>
      <c r="AL14" s="151" t="s">
        <v>72</v>
      </c>
      <c r="AM14" s="164" t="s">
        <v>96</v>
      </c>
      <c r="AN14" s="164"/>
      <c r="AO14" s="164"/>
      <c r="AP14" s="144" t="s">
        <v>73</v>
      </c>
      <c r="AQ14" s="144"/>
      <c r="AR14" s="144"/>
      <c r="AS14" s="144"/>
      <c r="AT14" s="144"/>
      <c r="AU14" s="144"/>
      <c r="AV14" s="144"/>
      <c r="AW14" s="145"/>
      <c r="AX14" s="164" t="s">
        <v>97</v>
      </c>
      <c r="AY14" s="164"/>
      <c r="AZ14" s="164"/>
      <c r="BA14" s="163" t="s">
        <v>74</v>
      </c>
      <c r="BB14" s="144"/>
      <c r="BC14" s="144"/>
      <c r="BD14" s="144"/>
      <c r="BE14" s="144"/>
      <c r="BF14" s="144"/>
      <c r="BG14" s="144"/>
      <c r="BH14" s="145"/>
      <c r="BI14" s="164" t="s">
        <v>98</v>
      </c>
      <c r="BJ14" s="164"/>
      <c r="BK14" s="164"/>
      <c r="BL14" s="144" t="s">
        <v>75</v>
      </c>
      <c r="BM14" s="144"/>
      <c r="BN14" s="144"/>
      <c r="BO14" s="144"/>
      <c r="BP14" s="144"/>
      <c r="BQ14" s="144"/>
      <c r="BR14" s="144"/>
      <c r="BS14" s="145"/>
      <c r="BT14" s="164" t="s">
        <v>76</v>
      </c>
      <c r="BU14" s="164"/>
      <c r="BV14" s="164"/>
      <c r="BW14" s="164" t="s">
        <v>77</v>
      </c>
      <c r="BX14" s="164"/>
      <c r="BY14" s="164"/>
      <c r="BZ14" s="164"/>
      <c r="CA14" s="164"/>
      <c r="CB14" s="164"/>
      <c r="CC14" s="164"/>
      <c r="CD14" s="164"/>
      <c r="CE14" s="164" t="s">
        <v>99</v>
      </c>
      <c r="CF14" s="164"/>
      <c r="CG14" s="164"/>
      <c r="CH14" s="144" t="s">
        <v>100</v>
      </c>
      <c r="CI14" s="144"/>
      <c r="CJ14" s="144"/>
      <c r="CK14" s="144"/>
      <c r="CL14" s="144"/>
      <c r="CM14" s="144"/>
      <c r="CN14" s="144"/>
      <c r="CO14" s="145"/>
      <c r="CP14" s="163" t="s">
        <v>78</v>
      </c>
      <c r="CQ14" s="145"/>
      <c r="CR14" s="163" t="s">
        <v>79</v>
      </c>
      <c r="CS14" s="144"/>
      <c r="CT14" s="144"/>
      <c r="CU14" s="144"/>
      <c r="CV14" s="144"/>
      <c r="CW14" s="144"/>
      <c r="CX14" s="145"/>
      <c r="CY14" s="153" t="s">
        <v>80</v>
      </c>
      <c r="CZ14" s="65"/>
      <c r="DA14" s="58"/>
      <c r="DB14" s="58"/>
      <c r="DC14" s="58"/>
    </row>
    <row r="15" spans="1:107" s="25" customFormat="1" ht="22.5" x14ac:dyDescent="0.15">
      <c r="B15" s="138"/>
      <c r="C15" s="138"/>
      <c r="D15" s="26" t="s">
        <v>22</v>
      </c>
      <c r="E15" s="27" t="s">
        <v>23</v>
      </c>
      <c r="F15" s="27" t="s">
        <v>24</v>
      </c>
      <c r="G15" s="27" t="s">
        <v>25</v>
      </c>
      <c r="H15" s="26" t="s">
        <v>26</v>
      </c>
      <c r="I15" s="27" t="s">
        <v>27</v>
      </c>
      <c r="J15" s="27" t="s">
        <v>28</v>
      </c>
      <c r="K15" s="27" t="s">
        <v>29</v>
      </c>
      <c r="L15" s="26" t="s">
        <v>30</v>
      </c>
      <c r="M15" s="26" t="s">
        <v>81</v>
      </c>
      <c r="N15" s="27" t="s">
        <v>31</v>
      </c>
      <c r="O15" s="27" t="s">
        <v>32</v>
      </c>
      <c r="P15" s="27" t="s">
        <v>33</v>
      </c>
      <c r="Q15" s="26" t="s">
        <v>34</v>
      </c>
      <c r="R15" s="26" t="s">
        <v>35</v>
      </c>
      <c r="S15" s="26" t="s">
        <v>36</v>
      </c>
      <c r="T15" s="143"/>
      <c r="U15" s="30" t="s">
        <v>37</v>
      </c>
      <c r="V15" s="30" t="s">
        <v>38</v>
      </c>
      <c r="W15" s="30" t="s">
        <v>39</v>
      </c>
      <c r="X15" s="50" t="s">
        <v>40</v>
      </c>
      <c r="Y15" s="28" t="s">
        <v>41</v>
      </c>
      <c r="Z15" s="28" t="s">
        <v>42</v>
      </c>
      <c r="AA15" s="29" t="s">
        <v>43</v>
      </c>
      <c r="AB15" s="50" t="s">
        <v>44</v>
      </c>
      <c r="AC15" s="50" t="s">
        <v>45</v>
      </c>
      <c r="AD15" s="30" t="s">
        <v>46</v>
      </c>
      <c r="AE15" s="50" t="s">
        <v>47</v>
      </c>
      <c r="AF15" s="60" t="s">
        <v>52</v>
      </c>
      <c r="AG15" s="60" t="s">
        <v>53</v>
      </c>
      <c r="AH15" s="61" t="s">
        <v>48</v>
      </c>
      <c r="AI15" s="61" t="s">
        <v>49</v>
      </c>
      <c r="AJ15" s="61" t="s">
        <v>50</v>
      </c>
      <c r="AK15" s="61" t="s">
        <v>51</v>
      </c>
      <c r="AL15" s="151"/>
      <c r="AM15" s="165" t="s">
        <v>69</v>
      </c>
      <c r="AN15" s="32" t="s">
        <v>82</v>
      </c>
      <c r="AO15" s="32" t="s">
        <v>83</v>
      </c>
      <c r="AP15" s="32" t="s">
        <v>84</v>
      </c>
      <c r="AQ15" s="32" t="s">
        <v>41</v>
      </c>
      <c r="AR15" s="32" t="s">
        <v>42</v>
      </c>
      <c r="AS15" s="33" t="s">
        <v>43</v>
      </c>
      <c r="AT15" s="33" t="s">
        <v>44</v>
      </c>
      <c r="AU15" s="33" t="s">
        <v>45</v>
      </c>
      <c r="AV15" s="32" t="s">
        <v>46</v>
      </c>
      <c r="AW15" s="33" t="s">
        <v>47</v>
      </c>
      <c r="AX15" s="32" t="s">
        <v>69</v>
      </c>
      <c r="AY15" s="32" t="s">
        <v>82</v>
      </c>
      <c r="AZ15" s="32" t="s">
        <v>83</v>
      </c>
      <c r="BA15" s="32" t="s">
        <v>84</v>
      </c>
      <c r="BB15" s="32" t="s">
        <v>41</v>
      </c>
      <c r="BC15" s="32" t="s">
        <v>42</v>
      </c>
      <c r="BD15" s="33" t="s">
        <v>43</v>
      </c>
      <c r="BE15" s="33" t="s">
        <v>44</v>
      </c>
      <c r="BF15" s="33" t="s">
        <v>45</v>
      </c>
      <c r="BG15" s="32" t="s">
        <v>46</v>
      </c>
      <c r="BH15" s="33" t="s">
        <v>47</v>
      </c>
      <c r="BI15" s="32" t="s">
        <v>69</v>
      </c>
      <c r="BJ15" s="32" t="s">
        <v>82</v>
      </c>
      <c r="BK15" s="32" t="s">
        <v>83</v>
      </c>
      <c r="BL15" s="32" t="s">
        <v>84</v>
      </c>
      <c r="BM15" s="32" t="s">
        <v>41</v>
      </c>
      <c r="BN15" s="32" t="s">
        <v>42</v>
      </c>
      <c r="BO15" s="33" t="s">
        <v>43</v>
      </c>
      <c r="BP15" s="33" t="s">
        <v>44</v>
      </c>
      <c r="BQ15" s="33" t="s">
        <v>45</v>
      </c>
      <c r="BR15" s="32" t="s">
        <v>46</v>
      </c>
      <c r="BS15" s="33" t="s">
        <v>47</v>
      </c>
      <c r="BT15" s="32" t="s">
        <v>69</v>
      </c>
      <c r="BU15" s="32" t="s">
        <v>82</v>
      </c>
      <c r="BV15" s="32" t="s">
        <v>83</v>
      </c>
      <c r="BW15" s="32" t="s">
        <v>84</v>
      </c>
      <c r="BX15" s="32" t="s">
        <v>41</v>
      </c>
      <c r="BY15" s="32" t="s">
        <v>42</v>
      </c>
      <c r="BZ15" s="33" t="s">
        <v>43</v>
      </c>
      <c r="CA15" s="33" t="s">
        <v>44</v>
      </c>
      <c r="CB15" s="33" t="s">
        <v>45</v>
      </c>
      <c r="CC15" s="32" t="s">
        <v>46</v>
      </c>
      <c r="CD15" s="33" t="s">
        <v>47</v>
      </c>
      <c r="CE15" s="32" t="s">
        <v>69</v>
      </c>
      <c r="CF15" s="32" t="s">
        <v>82</v>
      </c>
      <c r="CG15" s="32" t="s">
        <v>83</v>
      </c>
      <c r="CH15" s="32" t="s">
        <v>84</v>
      </c>
      <c r="CI15" s="32" t="s">
        <v>41</v>
      </c>
      <c r="CJ15" s="32" t="s">
        <v>42</v>
      </c>
      <c r="CK15" s="33" t="s">
        <v>43</v>
      </c>
      <c r="CL15" s="33" t="s">
        <v>44</v>
      </c>
      <c r="CM15" s="33" t="s">
        <v>45</v>
      </c>
      <c r="CN15" s="32" t="s">
        <v>46</v>
      </c>
      <c r="CO15" s="33" t="s">
        <v>47</v>
      </c>
      <c r="CP15" s="32" t="s">
        <v>69</v>
      </c>
      <c r="CQ15" s="32" t="s">
        <v>83</v>
      </c>
      <c r="CR15" s="32" t="s">
        <v>41</v>
      </c>
      <c r="CS15" s="32" t="s">
        <v>42</v>
      </c>
      <c r="CT15" s="33" t="s">
        <v>43</v>
      </c>
      <c r="CU15" s="33" t="s">
        <v>44</v>
      </c>
      <c r="CV15" s="33" t="s">
        <v>45</v>
      </c>
      <c r="CW15" s="32" t="s">
        <v>46</v>
      </c>
      <c r="CX15" s="33" t="s">
        <v>47</v>
      </c>
      <c r="CY15" s="154"/>
      <c r="CZ15" s="65"/>
      <c r="DA15" s="58"/>
      <c r="DB15" s="58"/>
      <c r="DC15" s="58"/>
    </row>
    <row r="16" spans="1:107" s="59" customFormat="1" ht="33" customHeight="1" x14ac:dyDescent="0.15">
      <c r="B16" s="85" t="s">
        <v>85</v>
      </c>
      <c r="C16" s="85" t="s">
        <v>85</v>
      </c>
      <c r="D16" s="155" t="s">
        <v>85</v>
      </c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7"/>
      <c r="T16" s="158" t="s">
        <v>85</v>
      </c>
      <c r="U16" s="159"/>
      <c r="V16" s="159"/>
      <c r="W16" s="160"/>
      <c r="X16" s="158" t="s">
        <v>86</v>
      </c>
      <c r="Y16" s="161"/>
      <c r="Z16" s="161"/>
      <c r="AA16" s="161"/>
      <c r="AB16" s="161"/>
      <c r="AC16" s="161"/>
      <c r="AD16" s="161"/>
      <c r="AE16" s="162"/>
      <c r="AF16" s="85" t="s">
        <v>87</v>
      </c>
      <c r="AG16" s="85" t="s">
        <v>88</v>
      </c>
      <c r="AH16" s="158" t="s">
        <v>87</v>
      </c>
      <c r="AI16" s="160"/>
      <c r="AJ16" s="158" t="s">
        <v>87</v>
      </c>
      <c r="AK16" s="160"/>
      <c r="AL16" s="85" t="s">
        <v>88</v>
      </c>
      <c r="AM16" s="85" t="s">
        <v>89</v>
      </c>
      <c r="AN16" s="85" t="s">
        <v>90</v>
      </c>
      <c r="AO16" s="85" t="s">
        <v>88</v>
      </c>
      <c r="AP16" s="85" t="s">
        <v>91</v>
      </c>
      <c r="AQ16" s="85" t="s">
        <v>91</v>
      </c>
      <c r="AR16" s="85" t="s">
        <v>91</v>
      </c>
      <c r="AS16" s="85" t="s">
        <v>87</v>
      </c>
      <c r="AT16" s="85" t="s">
        <v>92</v>
      </c>
      <c r="AU16" s="85" t="s">
        <v>91</v>
      </c>
      <c r="AV16" s="85" t="s">
        <v>93</v>
      </c>
      <c r="AW16" s="85" t="s">
        <v>94</v>
      </c>
      <c r="AX16" s="85" t="s">
        <v>89</v>
      </c>
      <c r="AY16" s="85" t="s">
        <v>90</v>
      </c>
      <c r="AZ16" s="85" t="s">
        <v>88</v>
      </c>
      <c r="BA16" s="85" t="s">
        <v>91</v>
      </c>
      <c r="BB16" s="85" t="s">
        <v>91</v>
      </c>
      <c r="BC16" s="85" t="s">
        <v>91</v>
      </c>
      <c r="BD16" s="85" t="s">
        <v>87</v>
      </c>
      <c r="BE16" s="85" t="s">
        <v>92</v>
      </c>
      <c r="BF16" s="85" t="s">
        <v>91</v>
      </c>
      <c r="BG16" s="85" t="s">
        <v>93</v>
      </c>
      <c r="BH16" s="85" t="s">
        <v>94</v>
      </c>
      <c r="BI16" s="85" t="s">
        <v>89</v>
      </c>
      <c r="BJ16" s="85" t="s">
        <v>90</v>
      </c>
      <c r="BK16" s="85" t="s">
        <v>88</v>
      </c>
      <c r="BL16" s="85" t="s">
        <v>91</v>
      </c>
      <c r="BM16" s="85" t="s">
        <v>91</v>
      </c>
      <c r="BN16" s="85" t="s">
        <v>91</v>
      </c>
      <c r="BO16" s="85" t="s">
        <v>87</v>
      </c>
      <c r="BP16" s="85" t="s">
        <v>92</v>
      </c>
      <c r="BQ16" s="85" t="s">
        <v>91</v>
      </c>
      <c r="BR16" s="85" t="s">
        <v>93</v>
      </c>
      <c r="BS16" s="85" t="s">
        <v>94</v>
      </c>
      <c r="BT16" s="85" t="s">
        <v>89</v>
      </c>
      <c r="BU16" s="85" t="s">
        <v>90</v>
      </c>
      <c r="BV16" s="85" t="s">
        <v>88</v>
      </c>
      <c r="BW16" s="85" t="s">
        <v>91</v>
      </c>
      <c r="BX16" s="85" t="s">
        <v>91</v>
      </c>
      <c r="BY16" s="85" t="s">
        <v>91</v>
      </c>
      <c r="BZ16" s="85" t="s">
        <v>87</v>
      </c>
      <c r="CA16" s="85" t="s">
        <v>92</v>
      </c>
      <c r="CB16" s="85" t="s">
        <v>91</v>
      </c>
      <c r="CC16" s="85" t="s">
        <v>93</v>
      </c>
      <c r="CD16" s="85" t="s">
        <v>94</v>
      </c>
      <c r="CE16" s="85" t="s">
        <v>89</v>
      </c>
      <c r="CF16" s="85" t="s">
        <v>90</v>
      </c>
      <c r="CG16" s="85" t="s">
        <v>88</v>
      </c>
      <c r="CH16" s="85" t="s">
        <v>91</v>
      </c>
      <c r="CI16" s="85" t="s">
        <v>91</v>
      </c>
      <c r="CJ16" s="85" t="s">
        <v>91</v>
      </c>
      <c r="CK16" s="85" t="s">
        <v>87</v>
      </c>
      <c r="CL16" s="85" t="s">
        <v>92</v>
      </c>
      <c r="CM16" s="85" t="s">
        <v>91</v>
      </c>
      <c r="CN16" s="85" t="s">
        <v>93</v>
      </c>
      <c r="CO16" s="85" t="s">
        <v>94</v>
      </c>
      <c r="CP16" s="85" t="s">
        <v>89</v>
      </c>
      <c r="CQ16" s="85" t="s">
        <v>88</v>
      </c>
      <c r="CR16" s="85" t="s">
        <v>91</v>
      </c>
      <c r="CS16" s="85" t="s">
        <v>91</v>
      </c>
      <c r="CT16" s="85" t="s">
        <v>87</v>
      </c>
      <c r="CU16" s="85" t="s">
        <v>92</v>
      </c>
      <c r="CV16" s="85" t="s">
        <v>91</v>
      </c>
      <c r="CW16" s="85" t="s">
        <v>93</v>
      </c>
      <c r="CX16" s="85" t="s">
        <v>94</v>
      </c>
      <c r="CY16" s="85"/>
      <c r="CZ16" s="66"/>
    </row>
    <row r="17" spans="2:104" s="80" customFormat="1" x14ac:dyDescent="0.15">
      <c r="B17" s="101" t="s">
        <v>154</v>
      </c>
      <c r="C17" s="102" t="s">
        <v>155</v>
      </c>
      <c r="D17" s="102" t="s">
        <v>156</v>
      </c>
      <c r="E17" s="102" t="s">
        <v>157</v>
      </c>
      <c r="F17" s="102" t="s">
        <v>158</v>
      </c>
      <c r="G17" s="102" t="s">
        <v>159</v>
      </c>
      <c r="H17" s="102" t="s">
        <v>160</v>
      </c>
      <c r="I17" s="102" t="s">
        <v>161</v>
      </c>
      <c r="J17" s="102" t="s">
        <v>162</v>
      </c>
      <c r="K17" s="102" t="s">
        <v>163</v>
      </c>
      <c r="L17" s="102" t="s">
        <v>164</v>
      </c>
      <c r="M17" s="102"/>
      <c r="N17" s="102" t="s">
        <v>165</v>
      </c>
      <c r="O17" s="102" t="s">
        <v>166</v>
      </c>
      <c r="P17" s="102" t="s">
        <v>167</v>
      </c>
      <c r="Q17" s="102" t="s">
        <v>168</v>
      </c>
      <c r="R17" s="102"/>
      <c r="S17" s="102" t="s">
        <v>169</v>
      </c>
      <c r="T17" s="103" t="s">
        <v>170</v>
      </c>
      <c r="U17" s="103" t="s">
        <v>171</v>
      </c>
      <c r="V17" s="103" t="s">
        <v>172</v>
      </c>
      <c r="W17" s="103" t="s">
        <v>173</v>
      </c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H17" s="104" t="s">
        <v>174</v>
      </c>
      <c r="AI17" s="104" t="s">
        <v>175</v>
      </c>
      <c r="AJ17" s="104" t="s">
        <v>116</v>
      </c>
      <c r="AK17" s="106"/>
      <c r="AL17" s="128"/>
      <c r="AM17" s="104" t="s">
        <v>176</v>
      </c>
      <c r="AN17" s="105"/>
      <c r="AO17" s="104" t="s">
        <v>305</v>
      </c>
      <c r="AP17" s="104" t="s">
        <v>263</v>
      </c>
      <c r="AQ17" s="104" t="s">
        <v>132</v>
      </c>
      <c r="AR17" s="104" t="s">
        <v>220</v>
      </c>
      <c r="AS17" s="104" t="s">
        <v>142</v>
      </c>
      <c r="AT17" s="104" t="s">
        <v>264</v>
      </c>
      <c r="AU17" s="106"/>
      <c r="AV17" s="106"/>
      <c r="AW17" s="107"/>
      <c r="AX17" s="107"/>
      <c r="AY17" s="108" t="s">
        <v>176</v>
      </c>
      <c r="AZ17" s="104" t="s">
        <v>177</v>
      </c>
      <c r="BA17" s="107"/>
      <c r="BB17" s="107"/>
      <c r="BC17" s="107"/>
      <c r="BD17" s="107"/>
      <c r="BE17" s="107"/>
      <c r="BF17" s="107"/>
      <c r="BG17" s="107"/>
      <c r="BH17" s="107"/>
      <c r="BI17" s="107"/>
      <c r="BJ17" s="105"/>
      <c r="BK17" s="107"/>
      <c r="BL17" s="107"/>
      <c r="BM17" s="107"/>
      <c r="BN17" s="107"/>
      <c r="BO17" s="107"/>
      <c r="BP17" s="107"/>
      <c r="BQ17" s="107"/>
      <c r="BR17" s="107"/>
      <c r="BS17" s="107"/>
      <c r="BT17" s="107"/>
      <c r="BU17" s="105"/>
      <c r="BV17" s="107"/>
      <c r="BW17" s="107"/>
      <c r="BX17" s="107"/>
      <c r="BY17" s="107"/>
      <c r="BZ17" s="107"/>
      <c r="CA17" s="107"/>
      <c r="CB17" s="107"/>
      <c r="CC17" s="107"/>
      <c r="CD17" s="107"/>
      <c r="CE17" s="107"/>
      <c r="CF17" s="105"/>
      <c r="CG17" s="107"/>
      <c r="CH17" s="107"/>
      <c r="CI17" s="107"/>
      <c r="CJ17" s="107"/>
      <c r="CK17" s="107"/>
      <c r="CL17" s="107"/>
      <c r="CM17" s="107"/>
      <c r="CN17" s="107"/>
      <c r="CO17" s="107"/>
      <c r="CP17" s="107"/>
      <c r="CQ17" s="105"/>
      <c r="CR17" s="107"/>
      <c r="CS17" s="107"/>
      <c r="CT17" s="107"/>
      <c r="CU17" s="107"/>
      <c r="CV17" s="107"/>
      <c r="CW17" s="107"/>
      <c r="CX17" s="107"/>
      <c r="CY17" s="121" t="s">
        <v>304</v>
      </c>
      <c r="CZ17" s="84" t="s">
        <v>178</v>
      </c>
    </row>
    <row r="18" spans="2:104" s="80" customFormat="1" x14ac:dyDescent="0.15">
      <c r="B18" s="109" t="s">
        <v>259</v>
      </c>
      <c r="C18" s="86"/>
      <c r="D18" s="86" t="s">
        <v>179</v>
      </c>
      <c r="E18" s="86" t="s">
        <v>180</v>
      </c>
      <c r="F18" s="86" t="s">
        <v>181</v>
      </c>
      <c r="G18" s="86" t="s">
        <v>182</v>
      </c>
      <c r="H18" s="86" t="s">
        <v>183</v>
      </c>
      <c r="I18" s="86" t="s">
        <v>161</v>
      </c>
      <c r="J18" s="86" t="s">
        <v>162</v>
      </c>
      <c r="K18" s="86" t="s">
        <v>184</v>
      </c>
      <c r="L18" s="86" t="s">
        <v>185</v>
      </c>
      <c r="M18" s="86"/>
      <c r="N18" s="86" t="s">
        <v>186</v>
      </c>
      <c r="O18" s="86" t="s">
        <v>187</v>
      </c>
      <c r="P18" s="86" t="s">
        <v>167</v>
      </c>
      <c r="Q18" s="96" t="s">
        <v>168</v>
      </c>
      <c r="R18" s="96" t="s">
        <v>188</v>
      </c>
      <c r="S18" s="86" t="s">
        <v>169</v>
      </c>
      <c r="T18" s="87" t="s">
        <v>170</v>
      </c>
      <c r="U18" s="87" t="s">
        <v>189</v>
      </c>
      <c r="V18" s="87" t="s">
        <v>190</v>
      </c>
      <c r="W18" s="87" t="s">
        <v>173</v>
      </c>
      <c r="X18" s="87"/>
      <c r="Y18" s="87"/>
      <c r="Z18" s="87"/>
      <c r="AA18" s="87"/>
      <c r="AB18" s="87"/>
      <c r="AC18" s="87"/>
      <c r="AD18" s="87"/>
      <c r="AE18" s="87"/>
      <c r="AF18" s="99"/>
      <c r="AG18" s="91"/>
      <c r="AH18" s="87"/>
      <c r="AI18" s="87"/>
      <c r="AJ18" s="87"/>
      <c r="AK18" s="87"/>
      <c r="AL18" s="87" t="s">
        <v>191</v>
      </c>
      <c r="AM18" s="87"/>
      <c r="AN18" s="93" t="s">
        <v>176</v>
      </c>
      <c r="AO18" s="87" t="s">
        <v>191</v>
      </c>
      <c r="AP18" s="87" t="s">
        <v>263</v>
      </c>
      <c r="AQ18" s="87"/>
      <c r="AR18" s="87"/>
      <c r="AS18" s="87"/>
      <c r="AT18" s="87"/>
      <c r="AU18" s="87"/>
      <c r="AV18" s="87"/>
      <c r="AW18" s="87"/>
      <c r="AX18" s="87" t="s">
        <v>176</v>
      </c>
      <c r="AY18" s="93"/>
      <c r="AZ18" s="87" t="s">
        <v>191</v>
      </c>
      <c r="BA18" s="87"/>
      <c r="BB18" s="87"/>
      <c r="BC18" s="87"/>
      <c r="BD18" s="87"/>
      <c r="BE18" s="87"/>
      <c r="BF18" s="87"/>
      <c r="BG18" s="87"/>
      <c r="BH18" s="87"/>
      <c r="BI18" s="87"/>
      <c r="BJ18" s="93"/>
      <c r="BK18" s="87" t="s">
        <v>191</v>
      </c>
      <c r="BL18" s="87"/>
      <c r="BM18" s="87"/>
      <c r="BN18" s="87"/>
      <c r="BO18" s="87"/>
      <c r="BP18" s="87"/>
      <c r="BQ18" s="87"/>
      <c r="BR18" s="87"/>
      <c r="BS18" s="87"/>
      <c r="BT18" s="87"/>
      <c r="BU18" s="93" t="s">
        <v>176</v>
      </c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93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93"/>
      <c r="CR18" s="87"/>
      <c r="CS18" s="87"/>
      <c r="CT18" s="87"/>
      <c r="CU18" s="87"/>
      <c r="CV18" s="87"/>
      <c r="CW18" s="87"/>
      <c r="CX18" s="87"/>
      <c r="CY18" s="110"/>
      <c r="CZ18" s="84" t="s">
        <v>192</v>
      </c>
    </row>
    <row r="19" spans="2:104" s="80" customFormat="1" x14ac:dyDescent="0.15">
      <c r="B19" s="109" t="s">
        <v>260</v>
      </c>
      <c r="C19" s="86"/>
      <c r="D19" s="86" t="s">
        <v>193</v>
      </c>
      <c r="E19" s="86" t="s">
        <v>194</v>
      </c>
      <c r="F19" s="86" t="s">
        <v>181</v>
      </c>
      <c r="G19" s="86" t="s">
        <v>195</v>
      </c>
      <c r="H19" s="86" t="s">
        <v>196</v>
      </c>
      <c r="I19" s="86" t="s">
        <v>197</v>
      </c>
      <c r="J19" s="86" t="s">
        <v>198</v>
      </c>
      <c r="K19" s="86" t="s">
        <v>184</v>
      </c>
      <c r="L19" s="86" t="s">
        <v>185</v>
      </c>
      <c r="M19" s="86"/>
      <c r="N19" s="86" t="s">
        <v>199</v>
      </c>
      <c r="O19" s="86"/>
      <c r="P19" s="86" t="s">
        <v>167</v>
      </c>
      <c r="Q19" s="86" t="s">
        <v>168</v>
      </c>
      <c r="R19" s="86"/>
      <c r="S19" s="86" t="s">
        <v>169</v>
      </c>
      <c r="T19" s="87" t="s">
        <v>170</v>
      </c>
      <c r="U19" s="87" t="s">
        <v>200</v>
      </c>
      <c r="V19" s="87" t="s">
        <v>172</v>
      </c>
      <c r="W19" s="87" t="s">
        <v>173</v>
      </c>
      <c r="X19" s="87" t="s">
        <v>155</v>
      </c>
      <c r="Y19" s="87"/>
      <c r="Z19" s="87"/>
      <c r="AA19" s="87"/>
      <c r="AB19" s="87"/>
      <c r="AC19" s="87" t="s">
        <v>201</v>
      </c>
      <c r="AD19" s="87" t="s">
        <v>202</v>
      </c>
      <c r="AE19" s="87"/>
      <c r="AF19" s="87"/>
      <c r="AG19" s="87"/>
      <c r="AH19" s="87"/>
      <c r="AI19" s="87"/>
      <c r="AJ19" s="87"/>
      <c r="AK19" s="87"/>
      <c r="AL19" s="87" t="s">
        <v>203</v>
      </c>
      <c r="AM19" s="94"/>
      <c r="AN19" s="92" t="s">
        <v>176</v>
      </c>
      <c r="AO19" s="88" t="s">
        <v>203</v>
      </c>
      <c r="AP19" s="94"/>
      <c r="AQ19" s="94"/>
      <c r="AR19" s="94"/>
      <c r="AS19" s="94"/>
      <c r="AT19" s="94"/>
      <c r="AU19" s="94"/>
      <c r="AV19" s="94"/>
      <c r="AW19" s="94"/>
      <c r="AX19" s="87" t="s">
        <v>176</v>
      </c>
      <c r="AY19" s="93"/>
      <c r="AZ19" s="87" t="s">
        <v>201</v>
      </c>
      <c r="BA19" s="87"/>
      <c r="BB19" s="87"/>
      <c r="BC19" s="87"/>
      <c r="BD19" s="87"/>
      <c r="BE19" s="87"/>
      <c r="BF19" s="87" t="s">
        <v>201</v>
      </c>
      <c r="BG19" s="87" t="s">
        <v>202</v>
      </c>
      <c r="BH19" s="87"/>
      <c r="BI19" s="87"/>
      <c r="BJ19" s="93"/>
      <c r="BK19" s="87" t="s">
        <v>201</v>
      </c>
      <c r="BL19" s="87"/>
      <c r="BM19" s="87"/>
      <c r="BN19" s="87"/>
      <c r="BO19" s="87"/>
      <c r="BP19" s="87"/>
      <c r="BQ19" s="87"/>
      <c r="BR19" s="87"/>
      <c r="BS19" s="87"/>
      <c r="BT19" s="87"/>
      <c r="BU19" s="93"/>
      <c r="BV19" s="87"/>
      <c r="BW19" s="87"/>
      <c r="BX19" s="87"/>
      <c r="BY19" s="87"/>
      <c r="BZ19" s="87"/>
      <c r="CA19" s="87"/>
      <c r="CB19" s="87"/>
      <c r="CC19" s="87"/>
      <c r="CD19" s="87"/>
      <c r="CE19" s="87"/>
      <c r="CF19" s="93"/>
      <c r="CG19" s="87"/>
      <c r="CH19" s="87"/>
      <c r="CI19" s="87"/>
      <c r="CJ19" s="87"/>
      <c r="CK19" s="87"/>
      <c r="CL19" s="87"/>
      <c r="CM19" s="87"/>
      <c r="CN19" s="87"/>
      <c r="CO19" s="87"/>
      <c r="CP19" s="87"/>
      <c r="CQ19" s="93"/>
      <c r="CR19" s="87"/>
      <c r="CS19" s="87"/>
      <c r="CT19" s="87"/>
      <c r="CU19" s="87"/>
      <c r="CV19" s="87"/>
      <c r="CW19" s="87"/>
      <c r="CX19" s="87"/>
      <c r="CY19" s="110"/>
      <c r="CZ19" s="84" t="s">
        <v>192</v>
      </c>
    </row>
    <row r="20" spans="2:104" s="80" customFormat="1" x14ac:dyDescent="0.15">
      <c r="B20" s="109" t="s">
        <v>154</v>
      </c>
      <c r="C20" s="86"/>
      <c r="D20" s="86" t="s">
        <v>204</v>
      </c>
      <c r="E20" s="86" t="s">
        <v>205</v>
      </c>
      <c r="F20" s="86" t="s">
        <v>206</v>
      </c>
      <c r="G20" s="86" t="s">
        <v>207</v>
      </c>
      <c r="H20" s="86" t="s">
        <v>208</v>
      </c>
      <c r="I20" s="86" t="s">
        <v>161</v>
      </c>
      <c r="J20" s="86" t="s">
        <v>162</v>
      </c>
      <c r="K20" s="86" t="s">
        <v>164</v>
      </c>
      <c r="L20" s="86" t="s">
        <v>164</v>
      </c>
      <c r="M20" s="86"/>
      <c r="N20" s="86" t="s">
        <v>199</v>
      </c>
      <c r="O20" s="86"/>
      <c r="P20" s="86" t="s">
        <v>167</v>
      </c>
      <c r="Q20" s="86" t="s">
        <v>168</v>
      </c>
      <c r="R20" s="86"/>
      <c r="S20" s="86" t="s">
        <v>169</v>
      </c>
      <c r="T20" s="86" t="s">
        <v>170</v>
      </c>
      <c r="U20" s="86" t="s">
        <v>209</v>
      </c>
      <c r="V20" s="86" t="s">
        <v>172</v>
      </c>
      <c r="W20" s="86" t="s">
        <v>173</v>
      </c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95"/>
      <c r="AI20" s="97"/>
      <c r="AJ20" s="95"/>
      <c r="AK20" s="97"/>
      <c r="AL20" s="96" t="s">
        <v>210</v>
      </c>
      <c r="AM20" s="95"/>
      <c r="AN20" s="95"/>
      <c r="AO20" s="96" t="s">
        <v>210</v>
      </c>
      <c r="AP20" s="97"/>
      <c r="AQ20" s="97"/>
      <c r="AR20" s="97"/>
      <c r="AS20" s="97"/>
      <c r="AT20" s="97"/>
      <c r="AU20" s="97"/>
      <c r="AV20" s="97"/>
      <c r="AW20" s="97"/>
      <c r="AX20" s="95"/>
      <c r="AY20" s="95"/>
      <c r="AZ20" s="96" t="s">
        <v>210</v>
      </c>
      <c r="BA20" s="97"/>
      <c r="BB20" s="97"/>
      <c r="BC20" s="97"/>
      <c r="BD20" s="97"/>
      <c r="BE20" s="97"/>
      <c r="BF20" s="97"/>
      <c r="BG20" s="97"/>
      <c r="BH20" s="97"/>
      <c r="BI20" s="95"/>
      <c r="BJ20" s="95"/>
      <c r="BK20" s="96" t="s">
        <v>210</v>
      </c>
      <c r="BL20" s="97"/>
      <c r="BM20" s="97"/>
      <c r="BN20" s="97"/>
      <c r="BO20" s="97"/>
      <c r="BP20" s="97"/>
      <c r="BQ20" s="97"/>
      <c r="BR20" s="97"/>
      <c r="BS20" s="97"/>
      <c r="BT20" s="95"/>
      <c r="BU20" s="95"/>
      <c r="BV20" s="95"/>
      <c r="BW20" s="97"/>
      <c r="BX20" s="97"/>
      <c r="BY20" s="97"/>
      <c r="BZ20" s="97"/>
      <c r="CA20" s="97"/>
      <c r="CB20" s="97"/>
      <c r="CC20" s="97"/>
      <c r="CD20" s="97"/>
      <c r="CE20" s="95"/>
      <c r="CF20" s="95"/>
      <c r="CG20" s="95"/>
      <c r="CH20" s="97"/>
      <c r="CI20" s="97"/>
      <c r="CJ20" s="97"/>
      <c r="CK20" s="97"/>
      <c r="CL20" s="97"/>
      <c r="CM20" s="97"/>
      <c r="CN20" s="97"/>
      <c r="CO20" s="97"/>
      <c r="CP20" s="95"/>
      <c r="CQ20" s="95"/>
      <c r="CR20" s="97"/>
      <c r="CS20" s="97"/>
      <c r="CT20" s="97"/>
      <c r="CU20" s="97"/>
      <c r="CV20" s="97"/>
      <c r="CW20" s="97"/>
      <c r="CX20" s="97"/>
      <c r="CY20" s="123"/>
      <c r="CZ20" s="84" t="s">
        <v>192</v>
      </c>
    </row>
    <row r="21" spans="2:104" s="80" customFormat="1" x14ac:dyDescent="0.15">
      <c r="B21" s="109" t="s">
        <v>154</v>
      </c>
      <c r="C21" s="86"/>
      <c r="D21" s="86" t="s">
        <v>211</v>
      </c>
      <c r="E21" s="86" t="s">
        <v>212</v>
      </c>
      <c r="F21" s="86" t="s">
        <v>206</v>
      </c>
      <c r="G21" s="86" t="s">
        <v>213</v>
      </c>
      <c r="H21" s="86" t="s">
        <v>214</v>
      </c>
      <c r="I21" s="86" t="s">
        <v>161</v>
      </c>
      <c r="J21" s="86" t="s">
        <v>215</v>
      </c>
      <c r="K21" s="86" t="s">
        <v>163</v>
      </c>
      <c r="L21" s="86" t="s">
        <v>164</v>
      </c>
      <c r="M21" s="86"/>
      <c r="N21" s="86" t="s">
        <v>199</v>
      </c>
      <c r="O21" s="86"/>
      <c r="P21" s="86" t="s">
        <v>167</v>
      </c>
      <c r="Q21" s="86" t="s">
        <v>168</v>
      </c>
      <c r="R21" s="86" t="s">
        <v>188</v>
      </c>
      <c r="S21" s="86" t="s">
        <v>169</v>
      </c>
      <c r="T21" s="86" t="s">
        <v>170</v>
      </c>
      <c r="U21" s="86" t="s">
        <v>216</v>
      </c>
      <c r="V21" s="86" t="s">
        <v>217</v>
      </c>
      <c r="W21" s="86" t="s">
        <v>218</v>
      </c>
      <c r="X21" s="86" t="s">
        <v>174</v>
      </c>
      <c r="Y21" s="86" t="s">
        <v>219</v>
      </c>
      <c r="Z21" s="86" t="s">
        <v>220</v>
      </c>
      <c r="AA21" s="86" t="s">
        <v>221</v>
      </c>
      <c r="AB21" s="86" t="s">
        <v>222</v>
      </c>
      <c r="AC21" s="86" t="s">
        <v>223</v>
      </c>
      <c r="AD21" s="86" t="s">
        <v>224</v>
      </c>
      <c r="AE21" s="86"/>
      <c r="AF21" s="86"/>
      <c r="AG21" s="86"/>
      <c r="AH21" s="95"/>
      <c r="AI21" s="97"/>
      <c r="AJ21" s="95"/>
      <c r="AK21" s="97"/>
      <c r="AL21" s="96" t="s">
        <v>225</v>
      </c>
      <c r="AM21" s="96" t="s">
        <v>176</v>
      </c>
      <c r="AN21" s="97"/>
      <c r="AO21" s="96" t="s">
        <v>174</v>
      </c>
      <c r="AP21" s="96" t="s">
        <v>103</v>
      </c>
      <c r="AQ21" s="96" t="s">
        <v>219</v>
      </c>
      <c r="AR21" s="96" t="s">
        <v>220</v>
      </c>
      <c r="AS21" s="96" t="s">
        <v>221</v>
      </c>
      <c r="AT21" s="96" t="s">
        <v>222</v>
      </c>
      <c r="AU21" s="96" t="s">
        <v>223</v>
      </c>
      <c r="AV21" s="96" t="s">
        <v>224</v>
      </c>
      <c r="AW21" s="97"/>
      <c r="AX21" s="96" t="s">
        <v>176</v>
      </c>
      <c r="AY21" s="97"/>
      <c r="AZ21" s="96" t="s">
        <v>155</v>
      </c>
      <c r="BA21" s="96" t="s">
        <v>104</v>
      </c>
      <c r="BB21" s="96" t="s">
        <v>226</v>
      </c>
      <c r="BC21" s="96" t="s">
        <v>227</v>
      </c>
      <c r="BD21" s="98"/>
      <c r="BE21" s="97"/>
      <c r="BF21" s="96" t="s">
        <v>228</v>
      </c>
      <c r="BG21" s="98"/>
      <c r="BH21" s="97"/>
      <c r="BI21" s="96" t="s">
        <v>176</v>
      </c>
      <c r="BJ21" s="97"/>
      <c r="BK21" s="96" t="s">
        <v>116</v>
      </c>
      <c r="BL21" s="96" t="s">
        <v>105</v>
      </c>
      <c r="BM21" s="96" t="s">
        <v>229</v>
      </c>
      <c r="BN21" s="96" t="s">
        <v>230</v>
      </c>
      <c r="BO21" s="96" t="s">
        <v>231</v>
      </c>
      <c r="BP21" s="96" t="s">
        <v>232</v>
      </c>
      <c r="BQ21" s="96" t="s">
        <v>233</v>
      </c>
      <c r="BR21" s="96" t="s">
        <v>224</v>
      </c>
      <c r="BS21" s="97"/>
      <c r="BT21" s="96" t="s">
        <v>176</v>
      </c>
      <c r="BU21" s="97"/>
      <c r="BV21" s="96" t="s">
        <v>117</v>
      </c>
      <c r="BW21" s="96" t="s">
        <v>106</v>
      </c>
      <c r="BX21" s="96" t="s">
        <v>234</v>
      </c>
      <c r="BY21" s="96" t="s">
        <v>235</v>
      </c>
      <c r="BZ21" s="96" t="s">
        <v>236</v>
      </c>
      <c r="CA21" s="96" t="s">
        <v>237</v>
      </c>
      <c r="CB21" s="96" t="s">
        <v>238</v>
      </c>
      <c r="CC21" s="96" t="s">
        <v>202</v>
      </c>
      <c r="CD21" s="96" t="s">
        <v>239</v>
      </c>
      <c r="CE21" s="95"/>
      <c r="CF21" s="95"/>
      <c r="CG21" s="95"/>
      <c r="CH21" s="97"/>
      <c r="CI21" s="97"/>
      <c r="CJ21" s="97"/>
      <c r="CK21" s="97"/>
      <c r="CL21" s="97"/>
      <c r="CM21" s="97"/>
      <c r="CN21" s="97"/>
      <c r="CO21" s="97"/>
      <c r="CP21" s="96" t="s">
        <v>176</v>
      </c>
      <c r="CQ21" s="95"/>
      <c r="CR21" s="96" t="s">
        <v>132</v>
      </c>
      <c r="CS21" s="96" t="s">
        <v>132</v>
      </c>
      <c r="CT21" s="98"/>
      <c r="CU21" s="97"/>
      <c r="CV21" s="96" t="s">
        <v>240</v>
      </c>
      <c r="CW21" s="96" t="s">
        <v>147</v>
      </c>
      <c r="CX21" s="98"/>
      <c r="CY21" s="122" t="s">
        <v>241</v>
      </c>
      <c r="CZ21" s="84" t="s">
        <v>192</v>
      </c>
    </row>
    <row r="22" spans="2:104" s="80" customFormat="1" x14ac:dyDescent="0.15">
      <c r="B22" s="109" t="s">
        <v>154</v>
      </c>
      <c r="C22" s="86" t="s">
        <v>174</v>
      </c>
      <c r="D22" s="86" t="s">
        <v>242</v>
      </c>
      <c r="E22" s="86" t="s">
        <v>243</v>
      </c>
      <c r="F22" s="86" t="s">
        <v>244</v>
      </c>
      <c r="G22" s="86" t="s">
        <v>245</v>
      </c>
      <c r="H22" s="86" t="s">
        <v>196</v>
      </c>
      <c r="I22" s="86" t="s">
        <v>197</v>
      </c>
      <c r="J22" s="86" t="s">
        <v>198</v>
      </c>
      <c r="K22" s="86" t="s">
        <v>184</v>
      </c>
      <c r="L22" s="86" t="s">
        <v>185</v>
      </c>
      <c r="M22" s="86"/>
      <c r="N22" s="86" t="s">
        <v>199</v>
      </c>
      <c r="O22" s="86"/>
      <c r="P22" s="86" t="s">
        <v>167</v>
      </c>
      <c r="Q22" s="86" t="s">
        <v>168</v>
      </c>
      <c r="R22" s="86"/>
      <c r="S22" s="86" t="s">
        <v>169</v>
      </c>
      <c r="T22" s="87" t="s">
        <v>170</v>
      </c>
      <c r="U22" s="87" t="s">
        <v>246</v>
      </c>
      <c r="V22" s="87" t="s">
        <v>247</v>
      </c>
      <c r="W22" s="87" t="s">
        <v>173</v>
      </c>
      <c r="X22" s="87"/>
      <c r="Y22" s="87"/>
      <c r="Z22" s="87"/>
      <c r="AA22" s="87"/>
      <c r="AB22" s="87"/>
      <c r="AC22" s="87"/>
      <c r="AD22" s="87"/>
      <c r="AE22" s="87"/>
      <c r="AF22" s="87"/>
      <c r="AG22" s="87"/>
      <c r="AH22" s="99"/>
      <c r="AI22" s="91"/>
      <c r="AJ22" s="99"/>
      <c r="AK22" s="91"/>
      <c r="AL22" s="88" t="s">
        <v>248</v>
      </c>
      <c r="AM22" s="99"/>
      <c r="AN22" s="100"/>
      <c r="AO22" s="99"/>
      <c r="AP22" s="91"/>
      <c r="AQ22" s="91"/>
      <c r="AR22" s="91"/>
      <c r="AS22" s="91"/>
      <c r="AT22" s="91"/>
      <c r="AU22" s="91"/>
      <c r="AV22" s="91"/>
      <c r="AW22" s="91"/>
      <c r="AX22" s="88" t="s">
        <v>176</v>
      </c>
      <c r="AY22" s="89"/>
      <c r="AZ22" s="99"/>
      <c r="BA22" s="90"/>
      <c r="BB22" s="90"/>
      <c r="BC22" s="90"/>
      <c r="BD22" s="90"/>
      <c r="BE22" s="91"/>
      <c r="BF22" s="88">
        <v>1213123</v>
      </c>
      <c r="BG22" s="88" t="s">
        <v>147</v>
      </c>
      <c r="BH22" s="90"/>
      <c r="BI22" s="99"/>
      <c r="BJ22" s="100"/>
      <c r="BK22" s="99"/>
      <c r="BL22" s="91"/>
      <c r="BM22" s="91"/>
      <c r="BN22" s="91"/>
      <c r="BO22" s="91"/>
      <c r="BP22" s="91"/>
      <c r="BQ22" s="91"/>
      <c r="BR22" s="91"/>
      <c r="BS22" s="91"/>
      <c r="BT22" s="99"/>
      <c r="BU22" s="100"/>
      <c r="BV22" s="99"/>
      <c r="BW22" s="91"/>
      <c r="BX22" s="91"/>
      <c r="BY22" s="91"/>
      <c r="BZ22" s="91"/>
      <c r="CA22" s="91"/>
      <c r="CB22" s="91"/>
      <c r="CC22" s="91"/>
      <c r="CD22" s="91"/>
      <c r="CE22" s="99"/>
      <c r="CF22" s="100"/>
      <c r="CG22" s="99"/>
      <c r="CH22" s="91"/>
      <c r="CI22" s="91"/>
      <c r="CJ22" s="91"/>
      <c r="CK22" s="91"/>
      <c r="CL22" s="91"/>
      <c r="CM22" s="91"/>
      <c r="CN22" s="91"/>
      <c r="CO22" s="91"/>
      <c r="CP22" s="99"/>
      <c r="CQ22" s="100"/>
      <c r="CR22" s="91"/>
      <c r="CS22" s="91"/>
      <c r="CT22" s="91"/>
      <c r="CU22" s="91"/>
      <c r="CV22" s="91"/>
      <c r="CW22" s="91"/>
      <c r="CX22" s="91"/>
      <c r="CY22" s="124"/>
      <c r="CZ22" s="84" t="s">
        <v>178</v>
      </c>
    </row>
    <row r="23" spans="2:104" s="80" customFormat="1" ht="33.75" x14ac:dyDescent="0.15">
      <c r="B23" s="111" t="s">
        <v>154</v>
      </c>
      <c r="C23" s="112"/>
      <c r="D23" s="112" t="s">
        <v>249</v>
      </c>
      <c r="E23" s="112" t="s">
        <v>250</v>
      </c>
      <c r="F23" s="112" t="s">
        <v>251</v>
      </c>
      <c r="G23" s="112" t="s">
        <v>252</v>
      </c>
      <c r="H23" s="112" t="s">
        <v>253</v>
      </c>
      <c r="I23" s="112" t="s">
        <v>161</v>
      </c>
      <c r="J23" s="112" t="s">
        <v>215</v>
      </c>
      <c r="K23" s="112" t="s">
        <v>184</v>
      </c>
      <c r="L23" s="112" t="s">
        <v>185</v>
      </c>
      <c r="M23" s="112" t="s">
        <v>300</v>
      </c>
      <c r="N23" s="112" t="s">
        <v>165</v>
      </c>
      <c r="O23" s="112" t="s">
        <v>166</v>
      </c>
      <c r="P23" s="112" t="s">
        <v>167</v>
      </c>
      <c r="Q23" s="112" t="s">
        <v>168</v>
      </c>
      <c r="R23" s="112"/>
      <c r="S23" s="112" t="s">
        <v>169</v>
      </c>
      <c r="T23" s="113" t="s">
        <v>170</v>
      </c>
      <c r="U23" s="113" t="s">
        <v>209</v>
      </c>
      <c r="V23" s="113" t="s">
        <v>172</v>
      </c>
      <c r="W23" s="113" t="s">
        <v>173</v>
      </c>
      <c r="X23" s="113" t="s">
        <v>116</v>
      </c>
      <c r="Y23" s="113"/>
      <c r="Z23" s="113"/>
      <c r="AA23" s="113"/>
      <c r="AB23" s="113"/>
      <c r="AC23" s="113" t="s">
        <v>254</v>
      </c>
      <c r="AD23" s="113" t="s">
        <v>202</v>
      </c>
      <c r="AE23" s="114" t="s">
        <v>261</v>
      </c>
      <c r="AF23" s="113"/>
      <c r="AG23" s="113"/>
      <c r="AH23" s="118" t="s">
        <v>174</v>
      </c>
      <c r="AI23" s="120"/>
      <c r="AJ23" s="117"/>
      <c r="AK23" s="117"/>
      <c r="AL23" s="127" t="s">
        <v>262</v>
      </c>
      <c r="AM23" s="115"/>
      <c r="AN23" s="116"/>
      <c r="AO23" s="115"/>
      <c r="AP23" s="117"/>
      <c r="AQ23" s="117"/>
      <c r="AR23" s="117"/>
      <c r="AS23" s="117"/>
      <c r="AT23" s="117"/>
      <c r="AU23" s="117"/>
      <c r="AV23" s="117"/>
      <c r="AW23" s="117"/>
      <c r="AX23" s="115"/>
      <c r="AY23" s="116"/>
      <c r="AZ23" s="118" t="s">
        <v>256</v>
      </c>
      <c r="BA23" s="117"/>
      <c r="BB23" s="117"/>
      <c r="BC23" s="117"/>
      <c r="BD23" s="117"/>
      <c r="BE23" s="117"/>
      <c r="BF23" s="117"/>
      <c r="BG23" s="117"/>
      <c r="BH23" s="117"/>
      <c r="BI23" s="118" t="s">
        <v>176</v>
      </c>
      <c r="BJ23" s="119"/>
      <c r="BK23" s="118" t="s">
        <v>257</v>
      </c>
      <c r="BL23" s="120"/>
      <c r="BM23" s="120"/>
      <c r="BN23" s="120"/>
      <c r="BO23" s="120"/>
      <c r="BP23" s="117"/>
      <c r="BQ23" s="118" t="s">
        <v>254</v>
      </c>
      <c r="BR23" s="118" t="s">
        <v>202</v>
      </c>
      <c r="BS23" s="118" t="s">
        <v>255</v>
      </c>
      <c r="BT23" s="115"/>
      <c r="BU23" s="116"/>
      <c r="BV23" s="115"/>
      <c r="BW23" s="117"/>
      <c r="BX23" s="117"/>
      <c r="BY23" s="117"/>
      <c r="BZ23" s="117"/>
      <c r="CA23" s="117"/>
      <c r="CB23" s="117"/>
      <c r="CC23" s="117"/>
      <c r="CD23" s="117"/>
      <c r="CE23" s="115"/>
      <c r="CF23" s="116"/>
      <c r="CG23" s="115"/>
      <c r="CH23" s="117"/>
      <c r="CI23" s="117"/>
      <c r="CJ23" s="117"/>
      <c r="CK23" s="117"/>
      <c r="CL23" s="117"/>
      <c r="CM23" s="117"/>
      <c r="CN23" s="117"/>
      <c r="CO23" s="117"/>
      <c r="CP23" s="115"/>
      <c r="CQ23" s="116"/>
      <c r="CR23" s="117"/>
      <c r="CS23" s="117"/>
      <c r="CT23" s="117"/>
      <c r="CU23" s="117"/>
      <c r="CV23" s="117"/>
      <c r="CW23" s="117"/>
      <c r="CX23" s="117"/>
      <c r="CY23" s="125"/>
      <c r="CZ23" s="84" t="s">
        <v>192</v>
      </c>
    </row>
    <row r="24" spans="2:104" s="75" customFormat="1" x14ac:dyDescent="0.15"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3"/>
      <c r="AO24" s="74"/>
      <c r="AP24" s="74"/>
      <c r="AQ24" s="74"/>
      <c r="AR24" s="74"/>
      <c r="AS24" s="74"/>
      <c r="AT24" s="74"/>
      <c r="AU24" s="74"/>
      <c r="AV24" s="74"/>
      <c r="AW24" s="74"/>
      <c r="AX24" s="74"/>
      <c r="AY24" s="77"/>
      <c r="AZ24" s="78"/>
      <c r="BA24" s="79"/>
      <c r="BB24" s="79"/>
      <c r="BC24" s="79"/>
      <c r="BD24" s="79"/>
      <c r="BE24" s="79"/>
      <c r="BF24" s="79"/>
      <c r="BG24" s="79"/>
      <c r="BH24" s="79"/>
      <c r="BI24" s="74"/>
      <c r="BJ24" s="73"/>
      <c r="BK24" s="74"/>
      <c r="BL24" s="74"/>
      <c r="BM24" s="74"/>
      <c r="BN24" s="74"/>
      <c r="BO24" s="74"/>
      <c r="BP24" s="74"/>
      <c r="BQ24" s="74"/>
      <c r="BR24" s="74"/>
      <c r="BS24" s="74"/>
      <c r="BT24" s="74"/>
      <c r="BU24" s="73"/>
      <c r="BV24" s="74"/>
      <c r="BW24" s="74"/>
      <c r="BX24" s="74"/>
      <c r="BY24" s="74"/>
      <c r="BZ24" s="74"/>
      <c r="CA24" s="74"/>
      <c r="CB24" s="74"/>
      <c r="CC24" s="74"/>
      <c r="CD24" s="74"/>
      <c r="CE24" s="74"/>
      <c r="CF24" s="73"/>
      <c r="CG24" s="74"/>
      <c r="CH24" s="74"/>
      <c r="CI24" s="74"/>
      <c r="CJ24" s="74"/>
      <c r="CK24" s="74"/>
      <c r="CL24" s="74"/>
      <c r="CM24" s="74"/>
      <c r="CN24" s="74"/>
      <c r="CO24" s="74"/>
      <c r="CP24" s="74"/>
      <c r="CQ24" s="73"/>
      <c r="CR24" s="74"/>
      <c r="CS24" s="74"/>
      <c r="CT24" s="74"/>
      <c r="CU24" s="74"/>
      <c r="CV24" s="74"/>
      <c r="CW24" s="74"/>
      <c r="CX24" s="74"/>
      <c r="CY24" s="74"/>
      <c r="CZ24" s="76"/>
    </row>
    <row r="25" spans="2:104" s="75" customFormat="1" x14ac:dyDescent="0.15">
      <c r="CZ25" s="76"/>
    </row>
    <row r="26" spans="2:104" s="75" customFormat="1" x14ac:dyDescent="0.15"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3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3"/>
      <c r="AZ26" s="74"/>
      <c r="BA26" s="74"/>
      <c r="BB26" s="74"/>
      <c r="BC26" s="74"/>
      <c r="BD26" s="74"/>
      <c r="BE26" s="74"/>
      <c r="BF26" s="74"/>
      <c r="BG26" s="74"/>
      <c r="BH26" s="74"/>
      <c r="BI26" s="74"/>
      <c r="BJ26" s="73"/>
      <c r="BK26" s="74"/>
      <c r="BL26" s="74"/>
      <c r="BM26" s="74"/>
      <c r="BN26" s="74"/>
      <c r="BO26" s="74"/>
      <c r="BP26" s="74"/>
      <c r="BQ26" s="74"/>
      <c r="BR26" s="74"/>
      <c r="BS26" s="74"/>
      <c r="BT26" s="74"/>
      <c r="BU26" s="73"/>
      <c r="BV26" s="74"/>
      <c r="BW26" s="74"/>
      <c r="BX26" s="74"/>
      <c r="BY26" s="74"/>
      <c r="BZ26" s="74"/>
      <c r="CA26" s="74"/>
      <c r="CB26" s="74"/>
      <c r="CC26" s="74"/>
      <c r="CD26" s="74"/>
      <c r="CE26" s="74"/>
      <c r="CF26" s="73"/>
      <c r="CG26" s="74"/>
      <c r="CH26" s="74"/>
      <c r="CI26" s="74"/>
      <c r="CJ26" s="74"/>
      <c r="CK26" s="74"/>
      <c r="CL26" s="74"/>
      <c r="CM26" s="74"/>
      <c r="CN26" s="74"/>
      <c r="CO26" s="74"/>
      <c r="CP26" s="74"/>
      <c r="CQ26" s="73"/>
      <c r="CR26" s="74"/>
      <c r="CS26" s="74"/>
      <c r="CT26" s="74"/>
      <c r="CU26" s="74"/>
      <c r="CV26" s="74"/>
      <c r="CW26" s="74"/>
      <c r="CX26" s="74"/>
      <c r="CY26" s="74"/>
      <c r="CZ26" s="76"/>
    </row>
    <row r="27" spans="2:104" x14ac:dyDescent="0.15">
      <c r="S27" s="2"/>
      <c r="AM27" s="3"/>
      <c r="AN27" s="52"/>
      <c r="AX27" s="3"/>
      <c r="AY27" s="52"/>
      <c r="BI27" s="3"/>
      <c r="BJ27" s="52"/>
      <c r="BT27" s="3"/>
      <c r="BU27" s="52"/>
      <c r="CE27" s="3"/>
      <c r="CF27" s="52"/>
      <c r="CP27" s="3"/>
      <c r="CQ27" s="52"/>
      <c r="CZ27" s="67"/>
    </row>
  </sheetData>
  <sheetProtection password="B6FF" sheet="1" objects="1" scenarios="1"/>
  <mergeCells count="37">
    <mergeCell ref="AX13:BH13"/>
    <mergeCell ref="BI13:BS13"/>
    <mergeCell ref="BT13:CD13"/>
    <mergeCell ref="CE13:CO13"/>
    <mergeCell ref="CP13:CX13"/>
    <mergeCell ref="AM13:AW13"/>
    <mergeCell ref="CY14:CY15"/>
    <mergeCell ref="D16:S16"/>
    <mergeCell ref="T16:W16"/>
    <mergeCell ref="X16:AE16"/>
    <mergeCell ref="AH16:AI16"/>
    <mergeCell ref="AJ16:AK16"/>
    <mergeCell ref="BA14:BH14"/>
    <mergeCell ref="BT14:BV14"/>
    <mergeCell ref="BW14:CD14"/>
    <mergeCell ref="CE14:CG14"/>
    <mergeCell ref="CH14:CO14"/>
    <mergeCell ref="CP14:CQ14"/>
    <mergeCell ref="CR14:CX14"/>
    <mergeCell ref="AM14:AO14"/>
    <mergeCell ref="AP14:AW14"/>
    <mergeCell ref="AX14:AZ14"/>
    <mergeCell ref="BI14:BK14"/>
    <mergeCell ref="BL14:BS14"/>
    <mergeCell ref="U14:W14"/>
    <mergeCell ref="X14:AE14"/>
    <mergeCell ref="AF14:AG14"/>
    <mergeCell ref="AH14:AI14"/>
    <mergeCell ref="AJ14:AK14"/>
    <mergeCell ref="AL14:AL15"/>
    <mergeCell ref="B4:E6"/>
    <mergeCell ref="B7:E8"/>
    <mergeCell ref="O12:T12"/>
    <mergeCell ref="B14:B15"/>
    <mergeCell ref="C14:C15"/>
    <mergeCell ref="D14:S14"/>
    <mergeCell ref="T14:T15"/>
  </mergeCells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rrorCheckButtonClick">
                <anchor moveWithCells="1">
                  <from>
                    <xdr:col>1</xdr:col>
                    <xdr:colOff>238125</xdr:colOff>
                    <xdr:row>9</xdr:row>
                    <xdr:rowOff>19050</xdr:rowOff>
                  </from>
                  <to>
                    <xdr:col>4</xdr:col>
                    <xdr:colOff>485775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DF4AD220-4715-4DAD-82A9-28A980D37E94}">
          <x14:formula1>
            <xm:f>master!$B$4:$B$17</xm:f>
          </x14:formula1>
          <xm:sqref>BA26:BA1048576 BL26:BL1048576 BW26:BW1048576 CH26:CH1048576 AF26:AF1048576 BW17:BW19 BL17:BL19 BA17:BA19 AP17:AP19 AF17:AF19 CH17:CH19 AF22:AF24 CH22:CH24 BW22:BW24 BL22:BL24 BA22:BA24 AP22:AP24 AP26:AP1048576</xm:sqref>
        </x14:dataValidation>
        <x14:dataValidation type="list" allowBlank="1" showInputMessage="1" showErrorMessage="1" xr:uid="{3E1C29E2-E42D-4683-A494-B2282531B28F}">
          <x14:formula1>
            <xm:f>master!$C$4:$C$10</xm:f>
          </x14:formula1>
          <xm:sqref>AH17:AH19 AH22:AH24 AH26:AH1048576</xm:sqref>
        </x14:dataValidation>
        <x14:dataValidation type="list" allowBlank="1" showInputMessage="1" showErrorMessage="1" xr:uid="{581266E5-37EE-4DD7-A0C3-70E4B0B6E0E5}">
          <x14:formula1>
            <xm:f>master!$D$4:$D$6</xm:f>
          </x14:formula1>
          <xm:sqref>AI17:AI19 AI22:AI24 AI26:AI1048576</xm:sqref>
        </x14:dataValidation>
        <x14:dataValidation type="list" allowBlank="1" showInputMessage="1" showErrorMessage="1" xr:uid="{8E57F103-BE63-4DDF-853E-BEAD3848159A}">
          <x14:formula1>
            <xm:f>master!$E$4:$E$10</xm:f>
          </x14:formula1>
          <xm:sqref>AJ17:AJ19 AJ22:AJ24 AJ26:AJ1048576</xm:sqref>
        </x14:dataValidation>
        <x14:dataValidation type="list" allowBlank="1" showInputMessage="1" showErrorMessage="1" xr:uid="{1D9770AA-AD87-46B3-9F73-92F89C997950}">
          <x14:formula1>
            <xm:f>master!$F$4:$F$7</xm:f>
          </x14:formula1>
          <xm:sqref>AK17:AK19 AK22:AK24 AK26:AK1048576</xm:sqref>
        </x14:dataValidation>
        <x14:dataValidation type="list" allowBlank="1" showInputMessage="1" showErrorMessage="1" xr:uid="{A8C215EA-EDB9-4124-BAB6-03773DC62EB1}">
          <x14:formula1>
            <xm:f>master!$G$4:$G$5</xm:f>
          </x14:formula1>
          <xm:sqref>BI26:BJ1048576 BT26:BU1048576 CE26:CF1048576 AM26:AN1048576 CE17:CF19 BT17:BU19 BI17:BJ19 AM17:AN19 AM22:AN24 CE22:CF24 BT22:BU24 BI22:BJ24 AX26:AY1048576 AX17:AY24 CP17:CP1048576</xm:sqref>
        </x14:dataValidation>
        <x14:dataValidation type="list" allowBlank="1" showInputMessage="1" showErrorMessage="1" xr:uid="{F63679F6-A3B7-439D-991D-860459D1C78D}">
          <x14:formula1>
            <xm:f>master!$H$4:$H$10</xm:f>
          </x14:formula1>
          <xm:sqref>BM26:BM1048576 BX26:BX1048576 CI26:CI1048576 BM22:BM24 AQ26:AQ1048576 CI17:CI19 BX17:BX19 BM17:BM19 BB17:BB19 AQ17:AQ19 BB22:BB24 AQ22:AQ24 BB26:BB1048576 CI22:CI24 BX22:BX24 CR17:CR1048576</xm:sqref>
        </x14:dataValidation>
        <x14:dataValidation type="list" allowBlank="1" showInputMessage="1" showErrorMessage="1" xr:uid="{AE5A383B-3665-4DC3-8A4F-2EDAF74FB57B}">
          <x14:formula1>
            <xm:f>master!$I$4:$I$8</xm:f>
          </x14:formula1>
          <xm:sqref>BN26:BN1048576 BY26:BY1048576 CJ26:CJ1048576 BN22:BN24 AR26:AR1048576 CJ17:CJ19 BY17:BY19 BN17:BN19 BC17:BC19 AR17:AR19 BC22:BC24 AR22:AR24 BC26:BC1048576 CJ22:CJ24 BY22:BY24 CS17:CS1048576</xm:sqref>
        </x14:dataValidation>
        <x14:dataValidation type="list" allowBlank="1" showInputMessage="1" showErrorMessage="1" xr:uid="{0EBC62AF-4FEB-4C15-B3C3-1F719EF3FA8C}">
          <x14:formula1>
            <xm:f>master!$J$4:$J$9</xm:f>
          </x14:formula1>
          <xm:sqref>BO26:BO1048576 BZ26:BZ1048576 CK26:CK1048576 AS26:AS1048576 CK17:CK19 BZ17:BZ19 BO17:BO19 BD26:BD1048576 AS17:AS19 AS22:AS24 BD17:BD24 CK22:CK24 BZ22:BZ24 BO22:BO24 CT17:CT1048576</xm:sqref>
        </x14:dataValidation>
        <x14:dataValidation type="list" allowBlank="1" showInputMessage="1" showErrorMessage="1" xr:uid="{22D5C04A-38AF-4D5D-92C9-BC1067B519CE}">
          <x14:formula1>
            <xm:f>master!$K$4:$K$6</xm:f>
          </x14:formula1>
          <xm:sqref>BR26:BR1048576 CC26:CC1048576 CN26:CN1048576 AV26:AV1048576 CN17:CN19 CC17:CC19 BR17:BR19 BG26:BG1048576 AV17:AV19 AV22:AV24 BG17:BG24 CN22:CN24 CC22:CC24 BR22:BR24 CW17:CW1048576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D6365-BB2F-4662-AC47-22D7528B79F9}">
  <sheetPr codeName="Sheet3"/>
  <dimension ref="A1:G21"/>
  <sheetViews>
    <sheetView workbookViewId="0">
      <selection activeCell="G5" sqref="G5"/>
    </sheetView>
  </sheetViews>
  <sheetFormatPr defaultRowHeight="14.25" x14ac:dyDescent="0.15"/>
  <cols>
    <col min="1" max="1" width="4.625" style="48" customWidth="1"/>
    <col min="2" max="2" width="11.375" style="48" bestFit="1" customWidth="1"/>
    <col min="3" max="3" width="11.375" style="48" customWidth="1"/>
    <col min="4" max="4" width="16.625" style="48" customWidth="1"/>
    <col min="5" max="5" width="25.625" style="48" customWidth="1"/>
    <col min="6" max="6" width="13.625" style="48" customWidth="1"/>
    <col min="7" max="7" width="114.25" style="48" customWidth="1"/>
    <col min="8" max="16384" width="9" style="48"/>
  </cols>
  <sheetData>
    <row r="1" spans="1:7" x14ac:dyDescent="0.15">
      <c r="A1" s="49" t="s">
        <v>66</v>
      </c>
    </row>
    <row r="2" spans="1:7" s="71" customFormat="1" x14ac:dyDescent="0.15">
      <c r="A2" s="70"/>
      <c r="B2" s="71" t="s">
        <v>150</v>
      </c>
    </row>
    <row r="3" spans="1:7" x14ac:dyDescent="0.15">
      <c r="B3" s="72" t="s">
        <v>149</v>
      </c>
      <c r="C3" s="72" t="s">
        <v>151</v>
      </c>
      <c r="D3" s="72" t="s">
        <v>152</v>
      </c>
      <c r="E3" s="72" t="s">
        <v>67</v>
      </c>
      <c r="F3" s="72" t="s">
        <v>153</v>
      </c>
      <c r="G3" s="72" t="s">
        <v>68</v>
      </c>
    </row>
    <row r="4" spans="1:7" x14ac:dyDescent="0.15">
      <c r="B4" s="81" t="s">
        <v>265</v>
      </c>
      <c r="C4" s="81">
        <v>400715</v>
      </c>
      <c r="D4" s="81" t="s">
        <v>157</v>
      </c>
      <c r="E4" s="81" t="s">
        <v>266</v>
      </c>
      <c r="F4" s="81" t="s">
        <v>267</v>
      </c>
      <c r="G4" s="81" t="s">
        <v>268</v>
      </c>
    </row>
    <row r="5" spans="1:7" ht="28.5" x14ac:dyDescent="0.15">
      <c r="B5" s="82" t="s">
        <v>308</v>
      </c>
      <c r="C5" s="82">
        <v>400715</v>
      </c>
      <c r="D5" s="82" t="s">
        <v>157</v>
      </c>
      <c r="E5" s="82" t="s">
        <v>309</v>
      </c>
      <c r="F5" s="82" t="s">
        <v>267</v>
      </c>
      <c r="G5" s="126" t="s">
        <v>310</v>
      </c>
    </row>
    <row r="6" spans="1:7" x14ac:dyDescent="0.15">
      <c r="B6" s="82" t="s">
        <v>269</v>
      </c>
      <c r="C6" s="82">
        <v>400715</v>
      </c>
      <c r="D6" s="82" t="s">
        <v>157</v>
      </c>
      <c r="E6" s="82" t="s">
        <v>270</v>
      </c>
      <c r="F6" s="82" t="s">
        <v>267</v>
      </c>
      <c r="G6" s="82" t="s">
        <v>311</v>
      </c>
    </row>
    <row r="7" spans="1:7" x14ac:dyDescent="0.15">
      <c r="B7" s="82" t="s">
        <v>271</v>
      </c>
      <c r="C7" s="82">
        <v>400715</v>
      </c>
      <c r="D7" s="82" t="s">
        <v>157</v>
      </c>
      <c r="E7" s="82" t="s">
        <v>272</v>
      </c>
      <c r="F7" s="82" t="s">
        <v>267</v>
      </c>
      <c r="G7" s="82" t="s">
        <v>273</v>
      </c>
    </row>
    <row r="8" spans="1:7" x14ac:dyDescent="0.15">
      <c r="B8" s="82" t="s">
        <v>274</v>
      </c>
      <c r="C8" s="82">
        <v>400715</v>
      </c>
      <c r="D8" s="82" t="s">
        <v>157</v>
      </c>
      <c r="E8" s="82" t="s">
        <v>275</v>
      </c>
      <c r="F8" s="82" t="s">
        <v>267</v>
      </c>
      <c r="G8" s="82" t="s">
        <v>273</v>
      </c>
    </row>
    <row r="9" spans="1:7" x14ac:dyDescent="0.15">
      <c r="B9" s="82" t="s">
        <v>276</v>
      </c>
      <c r="C9" s="82">
        <v>400512</v>
      </c>
      <c r="D9" s="82" t="s">
        <v>212</v>
      </c>
      <c r="E9" s="82" t="s">
        <v>277</v>
      </c>
      <c r="F9" s="82" t="s">
        <v>267</v>
      </c>
      <c r="G9" s="82" t="s">
        <v>273</v>
      </c>
    </row>
    <row r="10" spans="1:7" x14ac:dyDescent="0.15">
      <c r="B10" s="82" t="s">
        <v>278</v>
      </c>
      <c r="C10" s="82">
        <v>400512</v>
      </c>
      <c r="D10" s="82" t="s">
        <v>212</v>
      </c>
      <c r="E10" s="82" t="s">
        <v>279</v>
      </c>
      <c r="F10" s="82" t="s">
        <v>267</v>
      </c>
      <c r="G10" s="82" t="s">
        <v>273</v>
      </c>
    </row>
    <row r="11" spans="1:7" x14ac:dyDescent="0.15">
      <c r="B11" s="82" t="s">
        <v>280</v>
      </c>
      <c r="C11" s="82">
        <v>400512</v>
      </c>
      <c r="D11" s="82" t="s">
        <v>212</v>
      </c>
      <c r="E11" s="82" t="s">
        <v>281</v>
      </c>
      <c r="F11" s="82" t="s">
        <v>267</v>
      </c>
      <c r="G11" s="82" t="s">
        <v>299</v>
      </c>
    </row>
    <row r="12" spans="1:7" x14ac:dyDescent="0.15">
      <c r="B12" s="82" t="s">
        <v>282</v>
      </c>
      <c r="C12" s="82">
        <v>402317</v>
      </c>
      <c r="D12" s="82" t="s">
        <v>243</v>
      </c>
      <c r="E12" s="82" t="s">
        <v>283</v>
      </c>
      <c r="F12" s="82" t="s">
        <v>267</v>
      </c>
      <c r="G12" s="82" t="s">
        <v>273</v>
      </c>
    </row>
    <row r="13" spans="1:7" x14ac:dyDescent="0.15">
      <c r="B13" s="82" t="s">
        <v>284</v>
      </c>
      <c r="C13" s="82">
        <v>402317</v>
      </c>
      <c r="D13" s="82" t="s">
        <v>243</v>
      </c>
      <c r="E13" s="82" t="s">
        <v>285</v>
      </c>
      <c r="F13" s="82" t="s">
        <v>267</v>
      </c>
      <c r="G13" s="82" t="s">
        <v>273</v>
      </c>
    </row>
    <row r="14" spans="1:7" x14ac:dyDescent="0.15">
      <c r="B14" s="82" t="s">
        <v>286</v>
      </c>
      <c r="C14" s="82">
        <v>402317</v>
      </c>
      <c r="D14" s="82" t="s">
        <v>243</v>
      </c>
      <c r="E14" s="82" t="s">
        <v>287</v>
      </c>
      <c r="F14" s="82" t="s">
        <v>267</v>
      </c>
      <c r="G14" s="82" t="s">
        <v>273</v>
      </c>
    </row>
    <row r="15" spans="1:7" x14ac:dyDescent="0.15">
      <c r="B15" s="82" t="s">
        <v>288</v>
      </c>
      <c r="C15" s="82">
        <v>402317</v>
      </c>
      <c r="D15" s="82" t="s">
        <v>243</v>
      </c>
      <c r="E15" s="82" t="s">
        <v>277</v>
      </c>
      <c r="F15" s="82" t="s">
        <v>267</v>
      </c>
      <c r="G15" s="82" t="s">
        <v>273</v>
      </c>
    </row>
    <row r="16" spans="1:7" x14ac:dyDescent="0.15">
      <c r="B16" s="82" t="s">
        <v>289</v>
      </c>
      <c r="C16" s="82">
        <v>402317</v>
      </c>
      <c r="D16" s="82" t="s">
        <v>243</v>
      </c>
      <c r="E16" s="82" t="s">
        <v>290</v>
      </c>
      <c r="F16" s="82" t="s">
        <v>267</v>
      </c>
      <c r="G16" s="82" t="s">
        <v>299</v>
      </c>
    </row>
    <row r="17" spans="2:7" ht="28.5" x14ac:dyDescent="0.15">
      <c r="B17" s="82" t="s">
        <v>301</v>
      </c>
      <c r="C17" s="82">
        <v>402564</v>
      </c>
      <c r="D17" s="82" t="s">
        <v>250</v>
      </c>
      <c r="E17" s="82" t="s">
        <v>302</v>
      </c>
      <c r="F17" s="82" t="s">
        <v>267</v>
      </c>
      <c r="G17" s="126" t="s">
        <v>303</v>
      </c>
    </row>
    <row r="18" spans="2:7" x14ac:dyDescent="0.15">
      <c r="B18" s="82" t="s">
        <v>291</v>
      </c>
      <c r="C18" s="82">
        <v>402564</v>
      </c>
      <c r="D18" s="82" t="s">
        <v>250</v>
      </c>
      <c r="E18" s="82" t="s">
        <v>292</v>
      </c>
      <c r="F18" s="82" t="s">
        <v>267</v>
      </c>
      <c r="G18" s="82" t="s">
        <v>273</v>
      </c>
    </row>
    <row r="19" spans="2:7" x14ac:dyDescent="0.15">
      <c r="B19" s="82" t="s">
        <v>293</v>
      </c>
      <c r="C19" s="82">
        <v>402564</v>
      </c>
      <c r="D19" s="82" t="s">
        <v>250</v>
      </c>
      <c r="E19" s="82" t="s">
        <v>294</v>
      </c>
      <c r="F19" s="82" t="s">
        <v>267</v>
      </c>
      <c r="G19" s="82" t="s">
        <v>273</v>
      </c>
    </row>
    <row r="20" spans="2:7" x14ac:dyDescent="0.15">
      <c r="B20" s="82" t="s">
        <v>295</v>
      </c>
      <c r="C20" s="82">
        <v>402564</v>
      </c>
      <c r="D20" s="82" t="s">
        <v>250</v>
      </c>
      <c r="E20" s="82" t="s">
        <v>296</v>
      </c>
      <c r="F20" s="82" t="s">
        <v>267</v>
      </c>
      <c r="G20" s="82" t="s">
        <v>273</v>
      </c>
    </row>
    <row r="21" spans="2:7" x14ac:dyDescent="0.15">
      <c r="B21" s="83" t="s">
        <v>297</v>
      </c>
      <c r="C21" s="83">
        <v>402564</v>
      </c>
      <c r="D21" s="83" t="s">
        <v>250</v>
      </c>
      <c r="E21" s="83" t="s">
        <v>298</v>
      </c>
      <c r="F21" s="83" t="s">
        <v>267</v>
      </c>
      <c r="G21" s="83" t="s">
        <v>273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ABE40-C772-4273-A861-67AAE42920B3}">
  <sheetPr codeName="Sheet4"/>
  <dimension ref="A1:K17"/>
  <sheetViews>
    <sheetView workbookViewId="0">
      <selection activeCell="K7" sqref="K7"/>
    </sheetView>
  </sheetViews>
  <sheetFormatPr defaultRowHeight="14.25" x14ac:dyDescent="0.15"/>
  <cols>
    <col min="1" max="1" width="2.5" style="48" customWidth="1"/>
    <col min="2" max="2" width="25" style="48" bestFit="1" customWidth="1"/>
    <col min="3" max="3" width="20.75" style="48" bestFit="1" customWidth="1"/>
    <col min="4" max="4" width="19" style="48" bestFit="1" customWidth="1"/>
    <col min="5" max="5" width="20.75" style="48" bestFit="1" customWidth="1"/>
    <col min="6" max="6" width="19" style="48" bestFit="1" customWidth="1"/>
    <col min="7" max="7" width="9" style="48"/>
    <col min="8" max="8" width="15" style="48" bestFit="1" customWidth="1"/>
    <col min="9" max="9" width="16.75" style="48" bestFit="1" customWidth="1"/>
    <col min="10" max="10" width="15" style="48" bestFit="1" customWidth="1"/>
    <col min="11" max="11" width="18.625" style="48" bestFit="1" customWidth="1"/>
    <col min="12" max="16384" width="9" style="48"/>
  </cols>
  <sheetData>
    <row r="1" spans="1:11" x14ac:dyDescent="0.15">
      <c r="A1" s="48" t="s">
        <v>95</v>
      </c>
    </row>
    <row r="3" spans="1:11" x14ac:dyDescent="0.15">
      <c r="B3" s="48" t="s">
        <v>130</v>
      </c>
      <c r="C3" s="48" t="s">
        <v>113</v>
      </c>
      <c r="D3" s="48" t="s">
        <v>120</v>
      </c>
      <c r="E3" s="48" t="s">
        <v>123</v>
      </c>
      <c r="F3" s="48" t="s">
        <v>124</v>
      </c>
      <c r="G3" s="48" t="s">
        <v>128</v>
      </c>
      <c r="H3" s="48" t="s">
        <v>131</v>
      </c>
      <c r="I3" s="48" t="s">
        <v>138</v>
      </c>
      <c r="J3" s="48" t="s">
        <v>141</v>
      </c>
      <c r="K3" s="48" t="s">
        <v>146</v>
      </c>
    </row>
    <row r="5" spans="1:11" x14ac:dyDescent="0.15">
      <c r="B5" s="62" t="s">
        <v>101</v>
      </c>
      <c r="C5" s="62" t="s">
        <v>114</v>
      </c>
      <c r="D5" s="48" t="s">
        <v>121</v>
      </c>
      <c r="E5" s="62" t="s">
        <v>114</v>
      </c>
      <c r="F5" s="48" t="s">
        <v>125</v>
      </c>
      <c r="G5" s="48" t="s">
        <v>129</v>
      </c>
      <c r="H5" s="48" t="s">
        <v>132</v>
      </c>
      <c r="I5" s="48" t="s">
        <v>132</v>
      </c>
      <c r="J5" s="48" t="s">
        <v>132</v>
      </c>
      <c r="K5" s="48" t="s">
        <v>147</v>
      </c>
    </row>
    <row r="6" spans="1:11" x14ac:dyDescent="0.15">
      <c r="B6" s="62" t="s">
        <v>102</v>
      </c>
      <c r="C6" s="62" t="s">
        <v>115</v>
      </c>
      <c r="D6" s="48" t="s">
        <v>122</v>
      </c>
      <c r="E6" s="62" t="s">
        <v>115</v>
      </c>
      <c r="F6" s="48" t="s">
        <v>126</v>
      </c>
      <c r="H6" s="48" t="s">
        <v>133</v>
      </c>
      <c r="I6" s="48" t="s">
        <v>139</v>
      </c>
      <c r="J6" s="48" t="s">
        <v>142</v>
      </c>
      <c r="K6" s="48" t="s">
        <v>148</v>
      </c>
    </row>
    <row r="7" spans="1:11" x14ac:dyDescent="0.15">
      <c r="B7" s="62" t="s">
        <v>103</v>
      </c>
      <c r="C7" s="62" t="s">
        <v>116</v>
      </c>
      <c r="E7" s="62" t="s">
        <v>116</v>
      </c>
      <c r="F7" s="48" t="s">
        <v>127</v>
      </c>
      <c r="H7" s="48" t="s">
        <v>134</v>
      </c>
      <c r="I7" s="48" t="s">
        <v>140</v>
      </c>
      <c r="J7" s="48" t="s">
        <v>143</v>
      </c>
    </row>
    <row r="8" spans="1:11" x14ac:dyDescent="0.15">
      <c r="B8" s="62" t="s">
        <v>104</v>
      </c>
      <c r="C8" s="62" t="s">
        <v>117</v>
      </c>
      <c r="E8" s="62" t="s">
        <v>117</v>
      </c>
      <c r="H8" s="48" t="s">
        <v>135</v>
      </c>
      <c r="I8" s="48" t="s">
        <v>137</v>
      </c>
      <c r="J8" s="48" t="s">
        <v>144</v>
      </c>
    </row>
    <row r="9" spans="1:11" x14ac:dyDescent="0.15">
      <c r="B9" s="62" t="s">
        <v>105</v>
      </c>
      <c r="C9" s="62" t="s">
        <v>118</v>
      </c>
      <c r="E9" s="62" t="s">
        <v>118</v>
      </c>
      <c r="H9" s="48" t="s">
        <v>136</v>
      </c>
      <c r="J9" s="48" t="s">
        <v>145</v>
      </c>
    </row>
    <row r="10" spans="1:11" x14ac:dyDescent="0.15">
      <c r="B10" s="62" t="s">
        <v>106</v>
      </c>
      <c r="C10" s="62" t="s">
        <v>119</v>
      </c>
      <c r="E10" s="62" t="s">
        <v>119</v>
      </c>
      <c r="H10" s="48" t="s">
        <v>137</v>
      </c>
    </row>
    <row r="11" spans="1:11" x14ac:dyDescent="0.15">
      <c r="B11" s="62" t="s">
        <v>107</v>
      </c>
    </row>
    <row r="12" spans="1:11" x14ac:dyDescent="0.15">
      <c r="B12" s="62" t="s">
        <v>108</v>
      </c>
    </row>
    <row r="13" spans="1:11" x14ac:dyDescent="0.15">
      <c r="B13" s="62" t="s">
        <v>109</v>
      </c>
    </row>
    <row r="14" spans="1:11" x14ac:dyDescent="0.15">
      <c r="B14" s="62" t="s">
        <v>110</v>
      </c>
    </row>
    <row r="15" spans="1:11" x14ac:dyDescent="0.15">
      <c r="B15" s="62" t="s">
        <v>111</v>
      </c>
    </row>
    <row r="16" spans="1:11" x14ac:dyDescent="0.15">
      <c r="B16" s="62" t="s">
        <v>112</v>
      </c>
    </row>
    <row r="17" spans="2:2" x14ac:dyDescent="0.15">
      <c r="B17" s="62" t="s">
        <v>101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警告</vt:lpstr>
      <vt:lpstr>人材育成計画</vt:lpstr>
      <vt:lpstr>チェック結果</vt:lpstr>
      <vt:lpstr>警告!Print_Area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71288842</cp:lastModifiedBy>
  <dcterms:created xsi:type="dcterms:W3CDTF">2014-10-21T06:14:28Z</dcterms:created>
  <dcterms:modified xsi:type="dcterms:W3CDTF">2018-12-14T01:03:25Z</dcterms:modified>
</cp:coreProperties>
</file>